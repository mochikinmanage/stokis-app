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O DETAILS" sheetId="1" r:id="rId4"/>
    <sheet state="visible" name="⚙️ Master Threshold" sheetId="2" r:id="rId5"/>
  </sheets>
  <definedNames>
    <definedName hidden="1" localSheetId="0" name="_xlnm._FilterDatabase">'SO DETAILS'!$A$43:$M$71</definedName>
  </definedNames>
  <calcPr/>
  <extLst>
    <ext uri="GoogleSheetsCustomDataVersion2">
      <go:sheetsCustomData xmlns:go="http://customooxmlschemas.google.com/" r:id="rId6" roundtripDataChecksum="GIzjTGukJH1bKg+SFNQ3c5rTsuT0in1Ljb+w0E+yReE="/>
    </ext>
  </extLst>
</workbook>
</file>

<file path=xl/sharedStrings.xml><?xml version="1.0" encoding="utf-8"?>
<sst xmlns="http://schemas.openxmlformats.org/spreadsheetml/2006/main" count="729" uniqueCount="225">
  <si>
    <t>⚙️  MASTER THRESHOLD — Atur Semua Batas Minimum Stok di Sini</t>
  </si>
  <si>
    <t>✏️  Ubah angka di kolom THRESHOLD BARU. lalu simpan file. Semua sheet SO akan otomatis mengikuti.</t>
  </si>
  <si>
    <t>No</t>
  </si>
  <si>
    <t>NAMA BARANG</t>
  </si>
  <si>
    <t>AREA / LOKASI</t>
  </si>
  <si>
    <t>THRESHOLD
SAAT INI</t>
  </si>
  <si>
    <t>THRESHOLD
BARU ✏️</t>
  </si>
  <si>
    <t>KETERANGAN / CATATAN</t>
  </si>
  <si>
    <t>▶  MEJA BIRU DEPAN + CHILLER</t>
  </si>
  <si>
    <t>Tepung Terigu</t>
  </si>
  <si>
    <t>Meja Biru + Chiller</t>
  </si>
  <si>
    <t>Bumbu Mix</t>
  </si>
  <si>
    <t>Minyak Beku</t>
  </si>
  <si>
    <t>Bumbu Marinasi</t>
  </si>
  <si>
    <t>Beras</t>
  </si>
  <si>
    <t>Mango Mint</t>
  </si>
  <si>
    <t>Mint Ice Cream</t>
  </si>
  <si>
    <t>Vanilla Rose</t>
  </si>
  <si>
    <t>Snowy Cheese</t>
  </si>
  <si>
    <t xml:space="preserve">LAPORAN STOCK OPNAME HARIAN &lt;BRAND&gt; </t>
  </si>
  <si>
    <t>Tepung Panir</t>
  </si>
  <si>
    <t>Tepung Corndog</t>
  </si>
  <si>
    <t xml:space="preserve">SO SEBELUMNYA   </t>
  </si>
  <si>
    <t>Cabe Sachet</t>
  </si>
  <si>
    <t xml:space="preserve">SO SEKARANG		</t>
  </si>
  <si>
    <t>Tomat Sachet</t>
  </si>
  <si>
    <t>CBG01BDG (Bandung)</t>
  </si>
  <si>
    <t>Nori</t>
  </si>
  <si>
    <t>05/09/2026</t>
  </si>
  <si>
    <t>Shift</t>
  </si>
  <si>
    <t>Taufik</t>
  </si>
  <si>
    <t>Biji Wijen</t>
  </si>
  <si>
    <t>Closing</t>
  </si>
  <si>
    <t>Gula Putih</t>
  </si>
  <si>
    <t>Sabat</t>
  </si>
  <si>
    <t>Opening</t>
  </si>
  <si>
    <t>INFORMASI BARANG</t>
  </si>
  <si>
    <t>Garam</t>
  </si>
  <si>
    <t>Cajun</t>
  </si>
  <si>
    <t>Samyang</t>
  </si>
  <si>
    <t>HASIL ANALISIS</t>
  </si>
  <si>
    <t>Bon Cabe</t>
  </si>
  <si>
    <t>Plastik 15</t>
  </si>
  <si>
    <t>Plastik 24</t>
  </si>
  <si>
    <t>SATUAN</t>
  </si>
  <si>
    <t>THRESHOLD</t>
  </si>
  <si>
    <t>Plastik 30</t>
  </si>
  <si>
    <t>STEP 1
UTUH</t>
  </si>
  <si>
    <t>STEP 2
TERBUKA</t>
  </si>
  <si>
    <t>Kaldu Odeng</t>
  </si>
  <si>
    <t>TOTAL</t>
  </si>
  <si>
    <t xml:space="preserve">STEP 1
UTUH
</t>
  </si>
  <si>
    <t>Baking Soda</t>
  </si>
  <si>
    <t xml:space="preserve">STEP 2
TERBUKA
</t>
  </si>
  <si>
    <t>Teh Tong Ji</t>
  </si>
  <si>
    <t>TOTAL 2</t>
  </si>
  <si>
    <t>PEMAKAIAN</t>
  </si>
  <si>
    <t>Dus Hampers</t>
  </si>
  <si>
    <t>STATUS
STOK</t>
  </si>
  <si>
    <t>Box Berbagi</t>
  </si>
  <si>
    <t>KETERANGAN</t>
  </si>
  <si>
    <t>Botol Hampers</t>
  </si>
  <si>
    <t>Gas Torch</t>
  </si>
  <si>
    <t>pcs</t>
  </si>
  <si>
    <t>Katsubuoshi</t>
  </si>
  <si>
    <t>Spray Lemon Pepper</t>
  </si>
  <si>
    <t>Minyak Truffel</t>
  </si>
  <si>
    <t>Ultra (susu)</t>
  </si>
  <si>
    <t>Air Gula</t>
  </si>
  <si>
    <t>Mozzarella</t>
  </si>
  <si>
    <t>Kimchi</t>
  </si>
  <si>
    <t>Salted Egg</t>
  </si>
  <si>
    <t>Saos Onion</t>
  </si>
  <si>
    <t>Yangnyeom</t>
  </si>
  <si>
    <t>Garlic Parmesan</t>
  </si>
  <si>
    <t>Takoyaki</t>
  </si>
  <si>
    <t>Bawang Bombay</t>
  </si>
  <si>
    <t>Selai Soju</t>
  </si>
  <si>
    <t>Gochujang</t>
  </si>
  <si>
    <t>BBQ Sauce</t>
  </si>
  <si>
    <t>Mentai</t>
  </si>
  <si>
    <t>Mayonaise</t>
  </si>
  <si>
    <t>Topokki</t>
  </si>
  <si>
    <t>Sosis</t>
  </si>
  <si>
    <t>Gourmet</t>
  </si>
  <si>
    <t>Pasta Strawberry</t>
  </si>
  <si>
    <t>Pasta Blueberry</t>
  </si>
  <si>
    <t>Pasta Banana</t>
  </si>
  <si>
    <t>Air Mineral</t>
  </si>
  <si>
    <t>Keju Parmesan</t>
  </si>
  <si>
    <t>Chili Oil Jago-Jago</t>
  </si>
  <si>
    <t>Cheese Tteokbokki</t>
  </si>
  <si>
    <t>gr</t>
  </si>
  <si>
    <t>Nashville</t>
  </si>
  <si>
    <t>▶  FREEZER. AYAM &amp; ALAT</t>
  </si>
  <si>
    <t>Wings Baru</t>
  </si>
  <si>
    <t>Freezer &amp; Alat</t>
  </si>
  <si>
    <t>Wings Lama</t>
  </si>
  <si>
    <t>Pop (baru)</t>
  </si>
  <si>
    <t>Pop (lama)</t>
  </si>
  <si>
    <t>Ayam Ekor</t>
  </si>
  <si>
    <t>Reguler Lama</t>
  </si>
  <si>
    <t>Reguler Baru</t>
  </si>
  <si>
    <t>Es Batu</t>
  </si>
  <si>
    <t>Kentang</t>
  </si>
  <si>
    <t>Corndog Moza+Sosis</t>
  </si>
  <si>
    <t>Corndog Sosis</t>
  </si>
  <si>
    <t>Odeng (porsi)</t>
  </si>
  <si>
    <t>Baso Ikan</t>
  </si>
  <si>
    <t>Potato Cheese Ball</t>
  </si>
  <si>
    <t>Dumpling</t>
  </si>
  <si>
    <t>Dimsum Mix</t>
  </si>
  <si>
    <t>Ayam Katsu</t>
  </si>
  <si>
    <t>Cling Pembersih</t>
  </si>
  <si>
    <t>Sabun Cuci Piring</t>
  </si>
  <si>
    <t>S.O.S Karbol</t>
  </si>
  <si>
    <t>pax</t>
  </si>
  <si>
    <t>Vixal</t>
  </si>
  <si>
    <t>Sendok</t>
  </si>
  <si>
    <t>Mangkuk Stainless</t>
  </si>
  <si>
    <t>Piring Stainless</t>
  </si>
  <si>
    <t>Piring Plastik</t>
  </si>
  <si>
    <t>Keranjang Kotak Hitam Besi</t>
  </si>
  <si>
    <t>Keranjang Bulat Hitam Besi</t>
  </si>
  <si>
    <t>Keranjang Merah Plastik</t>
  </si>
  <si>
    <t>Keranjang Hitam Plastik</t>
  </si>
  <si>
    <t>Gelas Customer</t>
  </si>
  <si>
    <t>▶  MEJA LACI</t>
  </si>
  <si>
    <t>Sticker Thinwal</t>
  </si>
  <si>
    <t>Meja Laci</t>
  </si>
  <si>
    <t>Solasi Bening</t>
  </si>
  <si>
    <t>#REF!</t>
  </si>
  <si>
    <t>Cable Ties</t>
  </si>
  <si>
    <t>Sticky Note</t>
  </si>
  <si>
    <t>Dus Drakor Stock</t>
  </si>
  <si>
    <t>Dus Rice Box</t>
  </si>
  <si>
    <t>Kartu Nama</t>
  </si>
  <si>
    <t>Kertas Struk EDC</t>
  </si>
  <si>
    <t>Sumpit</t>
  </si>
  <si>
    <t>Tusuk Odeng</t>
  </si>
  <si>
    <t>Sendok Kayu</t>
  </si>
  <si>
    <t>Plastik Kentang</t>
  </si>
  <si>
    <t>Plastik Cetik</t>
  </si>
  <si>
    <t>Kertas Nasi Putih</t>
  </si>
  <si>
    <t>Label Biasa</t>
  </si>
  <si>
    <t>Thinwal Biasa</t>
  </si>
  <si>
    <t>Thinwal 1250 ml</t>
  </si>
  <si>
    <t>Thinwal Putih</t>
  </si>
  <si>
    <t>Aluminium Foil</t>
  </si>
  <si>
    <t>Tutup Aluminium</t>
  </si>
  <si>
    <t>Kresek 50</t>
  </si>
  <si>
    <t>Kresek 40</t>
  </si>
  <si>
    <t>Kresek 30 Ayam</t>
  </si>
  <si>
    <t>Dus Corndog</t>
  </si>
  <si>
    <t>Sarung Tangan</t>
  </si>
  <si>
    <t>Tusuk Sate</t>
  </si>
  <si>
    <t>Sedotan</t>
  </si>
  <si>
    <t>Paper Bag</t>
  </si>
  <si>
    <t>Tisu</t>
  </si>
  <si>
    <t>Cup Saos 100 ml</t>
  </si>
  <si>
    <t>Cup Saos 50 ml</t>
  </si>
  <si>
    <t>Cup Saos 35 ml</t>
  </si>
  <si>
    <t>Matcha (sachet)</t>
  </si>
  <si>
    <t>Korean Chocolate (sachet)</t>
  </si>
  <si>
    <t>Skat Drakor</t>
  </si>
  <si>
    <t>Trash Bag</t>
  </si>
  <si>
    <t>Cup Bowl Mochikin</t>
  </si>
  <si>
    <t>Sticker Cup Bowl</t>
  </si>
  <si>
    <t>kg</t>
  </si>
  <si>
    <t>Cup Minuman Mochikin</t>
  </si>
  <si>
    <t>Cup Minuman Polos</t>
  </si>
  <si>
    <t>Sealer Minuman</t>
  </si>
  <si>
    <t>Thinwal Bento</t>
  </si>
  <si>
    <t xml:space="preserve">Minyak liquid </t>
  </si>
  <si>
    <t>Dus Silver</t>
  </si>
  <si>
    <t>kg -+</t>
  </si>
  <si>
    <t>TOTAL ITEM TERDAFTAR</t>
  </si>
  <si>
    <t>← Total seluruh item di semua sheet SO</t>
  </si>
  <si>
    <t>gr-+</t>
  </si>
  <si>
    <t>▶  AREA MEJA BIRU DEPAN</t>
  </si>
  <si>
    <t>▶  AREA CHILLER</t>
  </si>
  <si>
    <t>gr -+</t>
  </si>
  <si>
    <t>pcs -+</t>
  </si>
  <si>
    <t>Lemon Papper</t>
  </si>
  <si>
    <t>▶  AREA MEJA LACI</t>
  </si>
  <si>
    <t>-+ pcs</t>
  </si>
  <si>
    <t>ikat/pack</t>
  </si>
  <si>
    <t>lembar</t>
  </si>
  <si>
    <t>Thinwal Putih (Berbagi)</t>
  </si>
  <si>
    <t>pax -+</t>
  </si>
  <si>
    <t>pax-pcs</t>
  </si>
  <si>
    <t>roll</t>
  </si>
  <si>
    <t>Tutup Aluminium Bukan Plastik</t>
  </si>
  <si>
    <t>stiker alumunium</t>
  </si>
  <si>
    <t>▶  AREA FREEZER</t>
  </si>
  <si>
    <t>porsi</t>
  </si>
  <si>
    <t>bungkus -+</t>
  </si>
  <si>
    <t>pax/pcs</t>
  </si>
  <si>
    <t>▶  AREA PERALATAN</t>
  </si>
  <si>
    <t>botol -+</t>
  </si>
  <si>
    <t>botol</t>
  </si>
  <si>
    <t>▶  UTILITAS</t>
  </si>
  <si>
    <t>NILAI SAAT INI</t>
  </si>
  <si>
    <t>TGL ISI / RESTOCK</t>
  </si>
  <si>
    <t>TGL PAKAI</t>
  </si>
  <si>
    <t>1</t>
  </si>
  <si>
    <t>Gas 3Kg Tabung 1</t>
  </si>
  <si>
    <t>tabung</t>
  </si>
  <si>
    <t>habis</t>
  </si>
  <si>
    <t>Penuh</t>
  </si>
  <si>
    <t>-</t>
  </si>
  <si>
    <t>2</t>
  </si>
  <si>
    <t>Gas 3Kg - Tabung 2</t>
  </si>
  <si>
    <t>Dipakai</t>
  </si>
  <si>
    <t>3</t>
  </si>
  <si>
    <t>Gas 12Kg - Tabung 1</t>
  </si>
  <si>
    <t>4</t>
  </si>
  <si>
    <t>Gas 12Kg - Tabung 2</t>
  </si>
  <si>
    <t>Habis</t>
  </si>
  <si>
    <t>Minyak Goreng</t>
  </si>
  <si>
    <t>JUMLAH RESTOCK</t>
  </si>
  <si>
    <t>Token Listrik (KWH)</t>
  </si>
  <si>
    <t>kWh</t>
  </si>
  <si>
    <t xml:space="preserve">KONDISI MINYAK GORENG : </t>
  </si>
  <si>
    <t>NOTE LAIN 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</si>
</sst>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#,##0.0"/>
    <numFmt numFmtId="165" formatCode="m/d"/>
    <numFmt numFmtId="166" formatCode="d.m"/>
    <numFmt numFmtId="167" formatCode="m/d/yyyy"/>
  </numFmts>
  <fonts count="19">
    <font>
      <sz val="11.0"/>
      <color rgb="FF000000"/>
      <name val="Arial"/>
      <scheme val="minor"/>
    </font>
    <font>
      <b/>
      <sz val="14.0"/>
      <color rgb="FFFFFFFF"/>
      <name val="Arial"/>
    </font>
    <font/>
    <font>
      <i/>
      <sz val="10.0"/>
      <color rgb="FF1F3864"/>
      <name val="Arial"/>
    </font>
    <font>
      <sz val="11.0"/>
      <color theme="1"/>
      <name val="Calibri"/>
    </font>
    <font>
      <b/>
      <sz val="10.0"/>
      <color rgb="FFFFFFFF"/>
      <name val="Arial"/>
    </font>
    <font>
      <b/>
      <sz val="10.0"/>
      <color rgb="FF1F3864"/>
      <name val="Arial"/>
    </font>
    <font>
      <sz val="10.0"/>
      <color rgb="FF000000"/>
      <name val="Arial"/>
    </font>
    <font>
      <i/>
      <sz val="9.0"/>
      <color rgb="FF000000"/>
      <name val="Arial"/>
    </font>
    <font>
      <b/>
      <sz val="10.0"/>
      <color rgb="FF555555"/>
      <name val="Arial"/>
    </font>
    <font>
      <b/>
      <sz val="11.0"/>
      <color rgb="FF1F3864"/>
      <name val="Arial"/>
    </font>
    <font>
      <b/>
      <sz val="16.0"/>
      <color theme="1"/>
      <name val="Calibri"/>
    </font>
    <font>
      <b/>
      <sz val="12.0"/>
      <color rgb="FF000000"/>
      <name val="Calibri"/>
    </font>
    <font>
      <b/>
      <sz val="12.0"/>
      <color theme="1"/>
      <name val="Calibri"/>
    </font>
    <font>
      <b/>
      <sz val="10.0"/>
      <color rgb="FF000000"/>
      <name val="Montserrat"/>
    </font>
    <font>
      <b/>
      <sz val="9.0"/>
      <color rgb="FF000000"/>
      <name val="Montserrat"/>
    </font>
    <font>
      <sz val="12.0"/>
      <color rgb="FF000000"/>
      <name val="Montserrat"/>
    </font>
    <font>
      <b/>
      <sz val="12.0"/>
      <color rgb="FF000000"/>
      <name val="Montserrat"/>
    </font>
    <font>
      <b/>
      <sz val="10.0"/>
      <color rgb="FF000000"/>
      <name val="Arial"/>
    </font>
  </fonts>
  <fills count="16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EBF3FB"/>
        <bgColor rgb="FFEBF3FB"/>
      </patternFill>
    </fill>
    <fill>
      <patternFill patternType="solid">
        <fgColor rgb="FFFFFFFF"/>
        <bgColor rgb="FFFFFFFF"/>
      </patternFill>
    </fill>
    <fill>
      <patternFill patternType="solid">
        <fgColor rgb="FFD6E4F0"/>
        <bgColor rgb="FFD6E4F0"/>
      </patternFill>
    </fill>
    <fill>
      <patternFill patternType="solid">
        <fgColor rgb="FFF2F2F2"/>
        <bgColor rgb="FFF2F2F2"/>
      </patternFill>
    </fill>
    <fill>
      <patternFill patternType="solid">
        <fgColor rgb="FFFFFDE7"/>
        <bgColor rgb="FFFFFDE7"/>
      </patternFill>
    </fill>
    <fill>
      <patternFill patternType="solid">
        <fgColor rgb="FFFFE699"/>
        <bgColor rgb="FFFFE699"/>
      </patternFill>
    </fill>
    <fill>
      <patternFill patternType="solid">
        <fgColor rgb="FF9BBB59"/>
        <bgColor rgb="FF9BBB59"/>
      </patternFill>
    </fill>
    <fill>
      <patternFill patternType="solid">
        <fgColor rgb="FFBDD7EE"/>
        <bgColor rgb="FFBDD7EE"/>
      </patternFill>
    </fill>
    <fill>
      <patternFill patternType="solid">
        <fgColor rgb="FFFFE599"/>
        <bgColor rgb="FFFFE599"/>
      </patternFill>
    </fill>
    <fill>
      <patternFill patternType="solid">
        <fgColor theme="6"/>
        <bgColor theme="6"/>
      </patternFill>
    </fill>
    <fill>
      <patternFill patternType="solid">
        <fgColor rgb="FFE06666"/>
        <bgColor rgb="FFE06666"/>
      </patternFill>
    </fill>
    <fill>
      <patternFill patternType="solid">
        <fgColor rgb="FFFFF2CC"/>
        <bgColor rgb="FFFFF2CC"/>
      </patternFill>
    </fill>
    <fill>
      <patternFill patternType="solid">
        <fgColor rgb="FFE2EFDA"/>
        <bgColor rgb="FFE2EFDA"/>
      </patternFill>
    </fill>
  </fills>
  <borders count="36">
    <border/>
    <border>
      <left style="thin">
        <color rgb="FFBDD7EE"/>
      </left>
      <top style="thin">
        <color rgb="FFBDD7EE"/>
      </top>
      <bottom style="thin">
        <color rgb="FFBDD7EE"/>
      </bottom>
    </border>
    <border>
      <top style="thin">
        <color rgb="FFBDD7EE"/>
      </top>
      <bottom style="thin">
        <color rgb="FFBDD7EE"/>
      </bottom>
    </border>
    <border>
      <left/>
      <top/>
      <bottom/>
    </border>
    <border>
      <top/>
      <bottom/>
    </border>
    <border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</border>
    <border>
      <left style="thin">
        <color rgb="FF2E75B6"/>
      </left>
      <right style="thin">
        <color rgb="FF2E75B6"/>
      </right>
      <top style="thin">
        <color rgb="FF2E75B6"/>
      </top>
      <bottom style="thin">
        <color rgb="FF2E75B6"/>
      </bottom>
    </border>
    <border>
      <right style="thin">
        <color rgb="FF000000"/>
      </right>
      <top/>
      <bottom/>
    </border>
    <border>
      <right/>
      <top/>
      <bottom/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bottom style="thin">
        <color rgb="FF000000"/>
      </bottom>
    </border>
    <border>
      <left style="thin">
        <color rgb="FFBDD7EE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BDD7EE"/>
      </left>
      <right style="thin">
        <color rgb="FFBDD7EE"/>
      </right>
      <top style="thin">
        <color rgb="FF000000"/>
      </top>
      <bottom style="thin">
        <color rgb="FF000000"/>
      </bottom>
    </border>
    <border>
      <left style="thin">
        <color rgb="FFBDD7EE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BDD7EE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top style="thin">
        <color rgb="FFBDD7EE"/>
      </top>
      <bottom style="thin">
        <color rgb="FFBDD7EE"/>
      </bottom>
    </border>
    <border>
      <left style="thin">
        <color rgb="FFBDD7EE"/>
      </left>
      <right style="thin">
        <color rgb="FF000000"/>
      </right>
      <top style="thin">
        <color rgb="FFBDD7EE"/>
      </top>
      <bottom style="thin">
        <color rgb="FFBDD7EE"/>
      </bottom>
    </border>
    <border>
      <right style="thin">
        <color rgb="FFBDD7EE"/>
      </right>
      <top style="thin">
        <color rgb="FFBDD7EE"/>
      </top>
      <bottom style="thin">
        <color rgb="FFBDD7EE"/>
      </bottom>
    </border>
    <border>
      <left style="thin">
        <color rgb="FFBDD7EE"/>
      </left>
      <right/>
      <top style="thin">
        <color rgb="FFBDD7EE"/>
      </top>
      <bottom style="thin">
        <color rgb="FFBDD7EE"/>
      </bottom>
    </border>
    <border>
      <right/>
      <top style="thin">
        <color rgb="FFBDD7EE"/>
      </top>
      <bottom style="thin">
        <color rgb="FFBDD7EE"/>
      </bottom>
    </border>
    <border>
      <left style="thin">
        <color rgb="FFBDD7EE"/>
      </left>
      <right style="thin">
        <color rgb="FFBDD7EE"/>
      </right>
      <top style="thin">
        <color rgb="FFBDD7EE"/>
      </top>
    </border>
    <border>
      <left style="thin">
        <color rgb="FFBDD7EE"/>
      </left>
      <right style="thin">
        <color rgb="FF000000"/>
      </right>
      <top style="thin">
        <color rgb="FFBDD7EE"/>
      </top>
    </border>
    <border>
      <right style="thin">
        <color rgb="FFBDD7EE"/>
      </right>
      <top style="thin">
        <color rgb="FFBDD7EE"/>
      </top>
    </border>
    <border>
      <left style="thin">
        <color rgb="FFBDD7EE"/>
      </left>
      <top style="thin">
        <color rgb="FFBDD7EE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BDD7EE"/>
      </left>
      <right style="thin">
        <color rgb="FFBDD7EE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1" fillId="3" fontId="3" numFmtId="0" xfId="0" applyAlignment="1" applyBorder="1" applyFill="1" applyFont="1">
      <alignment horizontal="left" readingOrder="0" vertical="center"/>
    </xf>
    <xf borderId="3" fillId="4" fontId="4" numFmtId="0" xfId="0" applyBorder="1" applyFill="1" applyFont="1"/>
    <xf borderId="4" fillId="0" fontId="2" numFmtId="0" xfId="0" applyBorder="1" applyFont="1"/>
    <xf borderId="5" fillId="2" fontId="5" numFmtId="0" xfId="0" applyAlignment="1" applyBorder="1" applyFill="1" applyFont="1">
      <alignment horizontal="center" shrinkToFit="0" vertical="center" wrapText="1"/>
    </xf>
    <xf borderId="1" fillId="5" fontId="6" numFmtId="0" xfId="0" applyAlignment="1" applyBorder="1" applyFill="1" applyFont="1">
      <alignment horizontal="left" vertical="center"/>
    </xf>
    <xf borderId="5" fillId="3" fontId="7" numFmtId="0" xfId="0" applyAlignment="1" applyBorder="1" applyFill="1" applyFont="1">
      <alignment horizontal="center" vertical="center"/>
    </xf>
    <xf borderId="5" fillId="3" fontId="7" numFmtId="0" xfId="0" applyAlignment="1" applyBorder="1" applyFill="1" applyFont="1">
      <alignment horizontal="left" vertical="center"/>
    </xf>
    <xf borderId="5" fillId="3" fontId="8" numFmtId="0" xfId="0" applyAlignment="1" applyBorder="1" applyFill="1" applyFont="1">
      <alignment horizontal="left" vertical="center"/>
    </xf>
    <xf borderId="5" fillId="6" fontId="9" numFmtId="0" xfId="0" applyAlignment="1" applyBorder="1" applyFill="1" applyFont="1">
      <alignment horizontal="center" vertical="center"/>
    </xf>
    <xf borderId="6" fillId="7" fontId="10" numFmtId="0" xfId="0" applyAlignment="1" applyBorder="1" applyFill="1" applyFont="1">
      <alignment horizontal="center" vertical="center"/>
    </xf>
    <xf borderId="5" fillId="6" fontId="4" numFmtId="0" xfId="0" applyBorder="1" applyFill="1" applyFont="1"/>
    <xf borderId="5" fillId="4" fontId="7" numFmtId="0" xfId="0" applyAlignment="1" applyBorder="1" applyFill="1" applyFont="1">
      <alignment horizontal="center" vertical="center"/>
    </xf>
    <xf borderId="5" fillId="4" fontId="7" numFmtId="0" xfId="0" applyAlignment="1" applyBorder="1" applyFill="1" applyFont="1">
      <alignment horizontal="left" vertical="center"/>
    </xf>
    <xf borderId="5" fillId="4" fontId="8" numFmtId="0" xfId="0" applyAlignment="1" applyBorder="1" applyFill="1" applyFont="1">
      <alignment horizontal="left" vertical="center"/>
    </xf>
    <xf borderId="0" fillId="0" fontId="11" numFmtId="0" xfId="0" applyAlignment="1" applyFont="1">
      <alignment horizontal="center" readingOrder="0" vertical="center"/>
    </xf>
    <xf borderId="4" fillId="8" fontId="12" numFmtId="0" xfId="0" applyAlignment="1" applyBorder="1" applyFill="1" applyFont="1">
      <alignment horizontal="center" readingOrder="0" vertical="center"/>
    </xf>
    <xf borderId="7" fillId="8" fontId="12" numFmtId="0" xfId="0" applyAlignment="1" applyBorder="1" applyFill="1" applyFont="1">
      <alignment horizontal="center" readingOrder="0" vertical="center"/>
    </xf>
    <xf borderId="4" fillId="9" fontId="12" numFmtId="0" xfId="0" applyAlignment="1" applyBorder="1" applyFill="1" applyFont="1">
      <alignment horizontal="center" readingOrder="0" vertical="center"/>
    </xf>
    <xf borderId="8" fillId="9" fontId="12" numFmtId="0" xfId="0" applyAlignment="1" applyBorder="1" applyFill="1" applyFont="1">
      <alignment horizontal="center" readingOrder="0" vertical="center"/>
    </xf>
    <xf borderId="9" fillId="0" fontId="13" numFmtId="0" xfId="0" applyAlignment="1" applyBorder="1" applyFont="1">
      <alignment horizontal="center" vertical="center"/>
    </xf>
    <xf borderId="10" fillId="0" fontId="2" numFmtId="0" xfId="0" applyBorder="1" applyFont="1"/>
    <xf borderId="11" fillId="0" fontId="13" numFmtId="0" xfId="0" applyAlignment="1" applyBorder="1" applyFont="1">
      <alignment horizontal="center" vertical="center"/>
    </xf>
    <xf borderId="11" fillId="0" fontId="13" numFmtId="0" xfId="0" applyAlignment="1" applyBorder="1" applyFont="1">
      <alignment horizontal="center" readingOrder="0" vertical="center"/>
    </xf>
    <xf borderId="9" fillId="0" fontId="13" numFmtId="0" xfId="0" applyAlignment="1" applyBorder="1" applyFont="1">
      <alignment horizontal="center" readingOrder="0" vertical="center"/>
    </xf>
    <xf borderId="9" fillId="0" fontId="13" numFmtId="0" xfId="0" applyAlignment="1" applyBorder="1" applyFont="1">
      <alignment horizontal="center" shrinkToFit="0" vertical="center" wrapText="0"/>
    </xf>
    <xf borderId="12" fillId="10" fontId="14" numFmtId="0" xfId="0" applyAlignment="1" applyBorder="1" applyFill="1" applyFont="1">
      <alignment horizontal="center" readingOrder="0" shrinkToFit="0" vertical="center" wrapText="1"/>
    </xf>
    <xf borderId="13" fillId="0" fontId="2" numFmtId="0" xfId="0" applyBorder="1" applyFont="1"/>
    <xf borderId="14" fillId="0" fontId="2" numFmtId="0" xfId="0" applyBorder="1" applyFont="1"/>
    <xf borderId="12" fillId="11" fontId="14" numFmtId="0" xfId="0" applyAlignment="1" applyBorder="1" applyFill="1" applyFont="1">
      <alignment horizontal="center" readingOrder="0" shrinkToFit="0" vertical="center" wrapText="1"/>
    </xf>
    <xf borderId="13" fillId="11" fontId="14" numFmtId="0" xfId="0" applyAlignment="1" applyBorder="1" applyFill="1" applyFont="1">
      <alignment horizontal="center" readingOrder="0" shrinkToFit="0" vertical="center" wrapText="1"/>
    </xf>
    <xf borderId="14" fillId="11" fontId="14" numFmtId="0" xfId="0" applyAlignment="1" applyBorder="1" applyFill="1" applyFont="1">
      <alignment horizontal="center" readingOrder="0" shrinkToFit="0" vertical="center" wrapText="1"/>
    </xf>
    <xf borderId="12" fillId="12" fontId="14" numFmtId="0" xfId="0" applyAlignment="1" applyBorder="1" applyFill="1" applyFont="1">
      <alignment horizontal="center" readingOrder="0" shrinkToFit="0" vertical="center" wrapText="1"/>
    </xf>
    <xf borderId="13" fillId="12" fontId="14" numFmtId="0" xfId="0" applyAlignment="1" applyBorder="1" applyFill="1" applyFont="1">
      <alignment horizontal="center" readingOrder="0" shrinkToFit="0" vertical="center" wrapText="1"/>
    </xf>
    <xf borderId="14" fillId="12" fontId="14" numFmtId="0" xfId="0" applyAlignment="1" applyBorder="1" applyFill="1" applyFont="1">
      <alignment horizontal="center" readingOrder="0" shrinkToFit="0" vertical="center" wrapText="1"/>
    </xf>
    <xf borderId="12" fillId="13" fontId="14" numFmtId="0" xfId="0" applyAlignment="1" applyBorder="1" applyFill="1" applyFont="1">
      <alignment horizontal="center" readingOrder="0" shrinkToFit="0" vertical="center" wrapText="1"/>
    </xf>
    <xf borderId="11" fillId="10" fontId="15" numFmtId="0" xfId="0" applyAlignment="1" applyBorder="1" applyFill="1" applyFont="1">
      <alignment horizontal="center" readingOrder="0" shrinkToFit="0" vertical="center" wrapText="1"/>
    </xf>
    <xf borderId="11" fillId="10" fontId="15" numFmtId="0" xfId="0" applyAlignment="1" applyBorder="1" applyFill="1" applyFont="1">
      <alignment horizontal="center" readingOrder="0" shrinkToFit="0" vertical="center" wrapText="1"/>
    </xf>
    <xf borderId="15" fillId="11" fontId="15" numFmtId="0" xfId="0" applyAlignment="1" applyBorder="1" applyFill="1" applyFont="1">
      <alignment horizontal="center" readingOrder="0" shrinkToFit="0" vertical="center" wrapText="1"/>
    </xf>
    <xf borderId="15" fillId="12" fontId="15" numFmtId="0" xfId="0" applyAlignment="1" applyBorder="1" applyFill="1" applyFont="1">
      <alignment horizontal="center" readingOrder="0" shrinkToFit="0" vertical="center" wrapText="1"/>
    </xf>
    <xf borderId="15" fillId="13" fontId="15" numFmtId="0" xfId="0" applyAlignment="1" applyBorder="1" applyFill="1" applyFont="1">
      <alignment horizontal="center" readingOrder="0" shrinkToFit="0" vertical="center" wrapText="1"/>
    </xf>
    <xf borderId="15" fillId="13" fontId="15" numFmtId="0" xfId="0" applyAlignment="1" applyBorder="1" applyFill="1" applyFont="1">
      <alignment horizontal="center" readingOrder="0" shrinkToFit="0" vertical="center" wrapText="1"/>
    </xf>
    <xf borderId="16" fillId="4" fontId="16" numFmtId="0" xfId="0" applyAlignment="1" applyBorder="1" applyFill="1" applyFont="1">
      <alignment horizontal="center" shrinkToFit="0" vertical="center" wrapText="0"/>
    </xf>
    <xf borderId="17" fillId="4" fontId="16" numFmtId="0" xfId="0" applyAlignment="1" applyBorder="1" applyFill="1" applyFont="1">
      <alignment horizontal="left" shrinkToFit="0" vertical="center" wrapText="1"/>
    </xf>
    <xf borderId="17" fillId="4" fontId="16" numFmtId="0" xfId="0" applyAlignment="1" applyBorder="1" applyFill="1" applyFont="1">
      <alignment horizontal="center" shrinkToFit="0" vertical="center" wrapText="0"/>
    </xf>
    <xf borderId="18" fillId="14" fontId="17" numFmtId="0" xfId="0" applyAlignment="1" applyBorder="1" applyFill="1" applyFont="1">
      <alignment horizontal="center" readingOrder="0" shrinkToFit="0" vertical="center" wrapText="0"/>
    </xf>
    <xf borderId="17" fillId="7" fontId="17" numFmtId="0" xfId="0" applyAlignment="1" applyBorder="1" applyFill="1" applyFont="1">
      <alignment horizontal="center" readingOrder="0" shrinkToFit="0" vertical="center" wrapText="0"/>
    </xf>
    <xf borderId="6" fillId="0" fontId="10" numFmtId="0" xfId="0" applyAlignment="1" applyBorder="1" applyFont="1">
      <alignment horizontal="center" vertical="center"/>
    </xf>
    <xf borderId="19" fillId="7" fontId="17" numFmtId="0" xfId="0" applyAlignment="1" applyBorder="1" applyFill="1" applyFont="1">
      <alignment horizontal="center" shrinkToFit="0" vertical="center" wrapText="0"/>
    </xf>
    <xf borderId="19" fillId="15" fontId="17" numFmtId="0" xfId="0" applyAlignment="1" applyBorder="1" applyFill="1" applyFont="1">
      <alignment horizontal="center" shrinkToFit="0" vertical="center" wrapText="0"/>
    </xf>
    <xf borderId="20" fillId="3" fontId="16" numFmtId="0" xfId="0" applyAlignment="1" applyBorder="1" applyFill="1" applyFont="1">
      <alignment horizontal="center" shrinkToFit="0" vertical="center" wrapText="0"/>
    </xf>
    <xf borderId="20" fillId="3" fontId="16" numFmtId="0" xfId="0" applyAlignment="1" applyBorder="1" applyFill="1" applyFont="1">
      <alignment horizontal="left" shrinkToFit="0" vertical="center" wrapText="1"/>
    </xf>
    <xf borderId="21" fillId="14" fontId="17" numFmtId="0" xfId="0" applyAlignment="1" applyBorder="1" applyFill="1" applyFont="1">
      <alignment horizontal="center" readingOrder="0" shrinkToFit="0" vertical="center" wrapText="0"/>
    </xf>
    <xf borderId="22" fillId="7" fontId="17" numFmtId="0" xfId="0" applyAlignment="1" applyBorder="1" applyFill="1" applyFont="1">
      <alignment horizontal="center" readingOrder="0" shrinkToFit="0" vertical="center" wrapText="0"/>
    </xf>
    <xf borderId="20" fillId="7" fontId="17" numFmtId="0" xfId="0" applyAlignment="1" applyBorder="1" applyFill="1" applyFont="1">
      <alignment horizontal="center" readingOrder="0" shrinkToFit="0" vertical="center" wrapText="0"/>
    </xf>
    <xf borderId="16" fillId="7" fontId="17" numFmtId="0" xfId="0" applyAlignment="1" applyBorder="1" applyFill="1" applyFont="1">
      <alignment horizontal="center" readingOrder="0" shrinkToFit="0" vertical="center" wrapText="0"/>
    </xf>
    <xf borderId="22" fillId="4" fontId="16" numFmtId="0" xfId="0" applyAlignment="1" applyBorder="1" applyFill="1" applyFont="1">
      <alignment horizontal="center" shrinkToFit="0" vertical="center" wrapText="0"/>
    </xf>
    <xf borderId="21" fillId="14" fontId="17" numFmtId="0" xfId="0" applyAlignment="1" applyBorder="1" applyFill="1" applyFont="1">
      <alignment horizontal="center" shrinkToFit="0" vertical="center" wrapText="0"/>
    </xf>
    <xf borderId="1" fillId="5" fontId="6" numFmtId="0" xfId="0" applyAlignment="1" applyBorder="1" applyFill="1" applyFont="1">
      <alignment horizontal="left" readingOrder="0" vertical="center"/>
    </xf>
    <xf borderId="20" fillId="4" fontId="16" numFmtId="0" xfId="0" applyAlignment="1" applyBorder="1" applyFill="1" applyFont="1">
      <alignment horizontal="center" shrinkToFit="0" vertical="center" wrapText="0"/>
    </xf>
    <xf borderId="20" fillId="4" fontId="16" numFmtId="0" xfId="0" applyAlignment="1" applyBorder="1" applyFill="1" applyFont="1">
      <alignment horizontal="left" shrinkToFit="0" vertical="center" wrapText="1"/>
    </xf>
    <xf borderId="19" fillId="7" fontId="17" numFmtId="0" xfId="0" applyAlignment="1" applyBorder="1" applyFill="1" applyFont="1">
      <alignment horizontal="center" readingOrder="0" shrinkToFit="0" vertical="center" wrapText="0"/>
    </xf>
    <xf borderId="1" fillId="2" fontId="5" numFmtId="0" xfId="0" applyAlignment="1" applyBorder="1" applyFill="1" applyFont="1">
      <alignment horizontal="right" vertical="center"/>
    </xf>
    <xf borderId="5" fillId="15" fontId="18" numFmtId="0" xfId="0" applyAlignment="1" applyBorder="1" applyFill="1" applyFont="1">
      <alignment horizontal="center" vertical="center"/>
    </xf>
    <xf borderId="1" fillId="15" fontId="8" numFmtId="0" xfId="0" applyAlignment="1" applyBorder="1" applyFill="1" applyFont="1">
      <alignment horizontal="left" vertical="center"/>
    </xf>
    <xf borderId="19" fillId="7" fontId="17" numFmtId="4" xfId="0" applyAlignment="1" applyBorder="1" applyFill="1" applyFont="1" applyNumberFormat="1">
      <alignment horizontal="center" shrinkToFit="0" vertical="center" wrapText="0"/>
    </xf>
    <xf borderId="19" fillId="15" fontId="17" numFmtId="164" xfId="0" applyAlignment="1" applyBorder="1" applyFill="1" applyFont="1" applyNumberFormat="1">
      <alignment horizontal="center" shrinkToFit="0" vertical="center" wrapText="0"/>
    </xf>
    <xf borderId="22" fillId="4" fontId="16" numFmtId="164" xfId="0" applyAlignment="1" applyBorder="1" applyFill="1" applyFont="1" applyNumberFormat="1">
      <alignment horizontal="center" shrinkToFit="0" vertical="center" wrapText="0"/>
    </xf>
    <xf borderId="0" fillId="5" fontId="17" numFmtId="0" xfId="0" applyAlignment="1" applyFill="1" applyFont="1">
      <alignment horizontal="center" readingOrder="0" shrinkToFit="0" vertical="center" wrapText="0"/>
    </xf>
    <xf borderId="23" fillId="5" fontId="17" numFmtId="0" xfId="0" applyAlignment="1" applyBorder="1" applyFill="1" applyFont="1">
      <alignment horizontal="center" readingOrder="0" shrinkToFit="0" vertical="center" wrapText="0"/>
    </xf>
    <xf borderId="0" fillId="5" fontId="17" numFmtId="0" xfId="0" applyAlignment="1" applyFill="1" applyFont="1">
      <alignment horizontal="left" vertical="center"/>
    </xf>
    <xf borderId="0" fillId="0" fontId="16" numFmtId="0" xfId="0" applyFont="1"/>
    <xf borderId="0" fillId="0" fontId="16" numFmtId="0" xfId="0" applyAlignment="1" applyFont="1">
      <alignment shrinkToFit="0" wrapText="1"/>
    </xf>
    <xf borderId="23" fillId="0" fontId="16" numFmtId="0" xfId="0" applyBorder="1" applyFont="1"/>
    <xf borderId="1" fillId="4" fontId="16" numFmtId="0" xfId="0" applyAlignment="1" applyBorder="1" applyFill="1" applyFont="1">
      <alignment horizontal="center" shrinkToFit="0" vertical="center" wrapText="0"/>
    </xf>
    <xf borderId="2" fillId="4" fontId="16" numFmtId="0" xfId="0" applyAlignment="1" applyBorder="1" applyFill="1" applyFont="1">
      <alignment horizontal="left" shrinkToFit="0" vertical="center" wrapText="1"/>
    </xf>
    <xf borderId="2" fillId="4" fontId="16" numFmtId="0" xfId="0" applyAlignment="1" applyBorder="1" applyFill="1" applyFont="1">
      <alignment horizontal="center" shrinkToFit="0" vertical="center" wrapText="0"/>
    </xf>
    <xf borderId="24" fillId="14" fontId="17" numFmtId="0" xfId="0" applyAlignment="1" applyBorder="1" applyFill="1" applyFont="1">
      <alignment horizontal="center" readingOrder="0" shrinkToFit="0" vertical="center" wrapText="0"/>
    </xf>
    <xf borderId="2" fillId="7" fontId="17" numFmtId="0" xfId="0" applyAlignment="1" applyBorder="1" applyFill="1" applyFont="1">
      <alignment horizontal="center" readingOrder="0" shrinkToFit="0" vertical="center" wrapText="0"/>
    </xf>
    <xf borderId="5" fillId="3" fontId="16" numFmtId="0" xfId="0" applyAlignment="1" applyBorder="1" applyFill="1" applyFont="1">
      <alignment horizontal="center" shrinkToFit="0" vertical="center" wrapText="0"/>
    </xf>
    <xf borderId="5" fillId="3" fontId="16" numFmtId="0" xfId="0" applyAlignment="1" applyBorder="1" applyFill="1" applyFont="1">
      <alignment horizontal="left" shrinkToFit="0" vertical="center" wrapText="1"/>
    </xf>
    <xf borderId="25" fillId="14" fontId="17" numFmtId="0" xfId="0" applyAlignment="1" applyBorder="1" applyFill="1" applyFont="1">
      <alignment horizontal="center" shrinkToFit="0" vertical="center" wrapText="0"/>
    </xf>
    <xf borderId="26" fillId="7" fontId="17" numFmtId="0" xfId="0" applyAlignment="1" applyBorder="1" applyFill="1" applyFont="1">
      <alignment horizontal="center" readingOrder="0" shrinkToFit="0" vertical="center" wrapText="0"/>
    </xf>
    <xf borderId="5" fillId="7" fontId="17" numFmtId="0" xfId="0" applyAlignment="1" applyBorder="1" applyFill="1" applyFont="1">
      <alignment horizontal="center" readingOrder="0" shrinkToFit="0" vertical="center" wrapText="0"/>
    </xf>
    <xf borderId="1" fillId="7" fontId="17" numFmtId="0" xfId="0" applyAlignment="1" applyBorder="1" applyFill="1" applyFont="1">
      <alignment horizontal="center" readingOrder="0" shrinkToFit="0" vertical="center" wrapText="0"/>
    </xf>
    <xf borderId="26" fillId="3" fontId="16" numFmtId="0" xfId="0" applyAlignment="1" applyBorder="1" applyFill="1" applyFont="1">
      <alignment horizontal="center" shrinkToFit="0" vertical="center" wrapText="0"/>
    </xf>
    <xf borderId="5" fillId="4" fontId="16" numFmtId="0" xfId="0" applyAlignment="1" applyBorder="1" applyFill="1" applyFont="1">
      <alignment horizontal="center" shrinkToFit="0" vertical="center" wrapText="0"/>
    </xf>
    <xf borderId="5" fillId="4" fontId="16" numFmtId="0" xfId="0" applyAlignment="1" applyBorder="1" applyFill="1" applyFont="1">
      <alignment horizontal="left" shrinkToFit="0" vertical="center" wrapText="1"/>
    </xf>
    <xf borderId="26" fillId="4" fontId="16" numFmtId="0" xfId="0" applyAlignment="1" applyBorder="1" applyFill="1" applyFont="1">
      <alignment horizontal="center" shrinkToFit="0" vertical="center" wrapText="0"/>
    </xf>
    <xf borderId="26" fillId="7" fontId="17" numFmtId="3" xfId="0" applyAlignment="1" applyBorder="1" applyFill="1" applyFont="1" applyNumberFormat="1">
      <alignment horizontal="center" readingOrder="0" shrinkToFit="0" vertical="center" wrapText="0"/>
    </xf>
    <xf borderId="5" fillId="7" fontId="17" numFmtId="3" xfId="0" applyAlignment="1" applyBorder="1" applyFill="1" applyFont="1" applyNumberFormat="1">
      <alignment horizontal="center" readingOrder="0" shrinkToFit="0" vertical="center" wrapText="0"/>
    </xf>
    <xf borderId="1" fillId="7" fontId="17" numFmtId="3" xfId="0" applyAlignment="1" applyBorder="1" applyFill="1" applyFont="1" applyNumberFormat="1">
      <alignment horizontal="center" readingOrder="0" shrinkToFit="0" vertical="center" wrapText="0"/>
    </xf>
    <xf borderId="19" fillId="7" fontId="17" numFmtId="3" xfId="0" applyAlignment="1" applyBorder="1" applyFill="1" applyFont="1" applyNumberFormat="1">
      <alignment horizontal="center" shrinkToFit="0" vertical="center" wrapText="0"/>
    </xf>
    <xf borderId="19" fillId="15" fontId="17" numFmtId="3" xfId="0" applyAlignment="1" applyBorder="1" applyFill="1" applyFont="1" applyNumberFormat="1">
      <alignment horizontal="center" shrinkToFit="0" vertical="center" wrapText="0"/>
    </xf>
    <xf borderId="27" fillId="4" fontId="16" numFmtId="0" xfId="0" applyAlignment="1" applyBorder="1" applyFill="1" applyFont="1">
      <alignment horizontal="center" shrinkToFit="0" vertical="center" wrapText="0"/>
    </xf>
    <xf borderId="27" fillId="4" fontId="16" numFmtId="0" xfId="0" applyAlignment="1" applyBorder="1" applyFill="1" applyFont="1">
      <alignment horizontal="left" shrinkToFit="0" vertical="center" wrapText="1"/>
    </xf>
    <xf borderId="28" fillId="7" fontId="17" numFmtId="0" xfId="0" applyAlignment="1" applyBorder="1" applyFill="1" applyFont="1">
      <alignment horizontal="center" readingOrder="0" shrinkToFit="0" vertical="center" wrapText="0"/>
    </xf>
    <xf borderId="27" fillId="7" fontId="17" numFmtId="0" xfId="0" applyAlignment="1" applyBorder="1" applyFill="1" applyFont="1">
      <alignment horizontal="center" readingOrder="0" shrinkToFit="0" vertical="center" wrapText="0"/>
    </xf>
    <xf borderId="0" fillId="0" fontId="16" numFmtId="0" xfId="0" applyAlignment="1" applyFont="1">
      <alignment shrinkToFit="0" vertical="center" wrapText="0"/>
    </xf>
    <xf borderId="0" fillId="0" fontId="16" numFmtId="0" xfId="0" applyAlignment="1" applyFont="1">
      <alignment shrinkToFit="0" vertical="center" wrapText="1"/>
    </xf>
    <xf borderId="23" fillId="0" fontId="16" numFmtId="0" xfId="0" applyAlignment="1" applyBorder="1" applyFont="1">
      <alignment shrinkToFit="0" vertical="center" wrapText="0"/>
    </xf>
    <xf borderId="24" fillId="14" fontId="17" numFmtId="0" xfId="0" applyAlignment="1" applyBorder="1" applyFill="1" applyFont="1">
      <alignment horizontal="center" shrinkToFit="0" vertical="center" wrapText="0"/>
    </xf>
    <xf borderId="1" fillId="7" fontId="17" numFmtId="165" xfId="0" applyAlignment="1" applyBorder="1" applyFill="1" applyFont="1" applyNumberFormat="1">
      <alignment horizontal="center" readingOrder="0" shrinkToFit="0" vertical="center" wrapText="0"/>
    </xf>
    <xf borderId="19" fillId="15" fontId="17" numFmtId="165" xfId="0" applyAlignment="1" applyBorder="1" applyFill="1" applyFont="1" applyNumberFormat="1">
      <alignment horizontal="center" shrinkToFit="0" vertical="center" wrapText="0"/>
    </xf>
    <xf borderId="29" fillId="4" fontId="16" numFmtId="0" xfId="0" applyAlignment="1" applyBorder="1" applyFill="1" applyFont="1">
      <alignment horizontal="center" shrinkToFit="0" vertical="center" wrapText="0"/>
    </xf>
    <xf borderId="29" fillId="4" fontId="16" numFmtId="0" xfId="0" applyAlignment="1" applyBorder="1" applyFill="1" applyFont="1">
      <alignment horizontal="left" shrinkToFit="0" vertical="center" wrapText="1"/>
    </xf>
    <xf borderId="30" fillId="14" fontId="17" numFmtId="0" xfId="0" applyAlignment="1" applyBorder="1" applyFill="1" applyFont="1">
      <alignment horizontal="center" shrinkToFit="0" vertical="center" wrapText="0"/>
    </xf>
    <xf borderId="31" fillId="7" fontId="17" numFmtId="0" xfId="0" applyAlignment="1" applyBorder="1" applyFill="1" applyFont="1">
      <alignment horizontal="center" readingOrder="0" shrinkToFit="0" vertical="center" wrapText="0"/>
    </xf>
    <xf borderId="29" fillId="7" fontId="17" numFmtId="0" xfId="0" applyAlignment="1" applyBorder="1" applyFill="1" applyFont="1">
      <alignment horizontal="center" readingOrder="0" shrinkToFit="0" vertical="center" wrapText="0"/>
    </xf>
    <xf borderId="32" fillId="7" fontId="17" numFmtId="0" xfId="0" applyAlignment="1" applyBorder="1" applyFill="1" applyFont="1">
      <alignment horizontal="center" shrinkToFit="0" vertical="center" wrapText="0"/>
    </xf>
    <xf borderId="33" fillId="7" fontId="17" numFmtId="0" xfId="0" applyAlignment="1" applyBorder="1" applyFill="1" applyFont="1">
      <alignment horizontal="center" shrinkToFit="0" vertical="center" wrapText="0"/>
    </xf>
    <xf borderId="33" fillId="15" fontId="17" numFmtId="0" xfId="0" applyAlignment="1" applyBorder="1" applyFill="1" applyFont="1">
      <alignment horizontal="center" shrinkToFit="0" vertical="center" wrapText="0"/>
    </xf>
    <xf borderId="31" fillId="4" fontId="16" numFmtId="0" xfId="0" applyAlignment="1" applyBorder="1" applyFill="1" applyFont="1">
      <alignment horizontal="center" shrinkToFit="0" vertical="center" wrapText="0"/>
    </xf>
    <xf borderId="19" fillId="7" fontId="17" numFmtId="164" xfId="0" applyAlignment="1" applyBorder="1" applyFill="1" applyFont="1" applyNumberFormat="1">
      <alignment horizontal="center" shrinkToFit="0" vertical="center" wrapText="0"/>
    </xf>
    <xf borderId="2" fillId="4" fontId="16" numFmtId="3" xfId="0" applyAlignment="1" applyBorder="1" applyFill="1" applyFont="1" applyNumberFormat="1">
      <alignment horizontal="center" shrinkToFit="0" vertical="center" wrapText="0"/>
    </xf>
    <xf borderId="19" fillId="15" fontId="17" numFmtId="166" xfId="0" applyAlignment="1" applyBorder="1" applyFill="1" applyFont="1" applyNumberFormat="1">
      <alignment horizontal="center" shrinkToFit="0" vertical="center" wrapText="0"/>
    </xf>
    <xf borderId="26" fillId="3" fontId="16" numFmtId="166" xfId="0" applyAlignment="1" applyBorder="1" applyFill="1" applyFont="1" applyNumberFormat="1">
      <alignment horizontal="center" shrinkToFit="0" vertical="center" wrapText="0"/>
    </xf>
    <xf borderId="26" fillId="4" fontId="16" numFmtId="3" xfId="0" applyAlignment="1" applyBorder="1" applyFill="1" applyFont="1" applyNumberFormat="1">
      <alignment horizontal="center" shrinkToFit="0" vertical="center" wrapText="0"/>
    </xf>
    <xf borderId="19" fillId="15" fontId="17" numFmtId="0" xfId="0" applyAlignment="1" applyBorder="1" applyFill="1" applyFont="1">
      <alignment horizontal="center" shrinkToFit="0" vertical="center" wrapText="0"/>
    </xf>
    <xf borderId="11" fillId="10" fontId="15" numFmtId="0" xfId="0" applyAlignment="1" applyBorder="1" applyFill="1" applyFont="1">
      <alignment horizontal="center" readingOrder="0" shrinkToFit="0" vertical="center" wrapText="1"/>
    </xf>
    <xf borderId="11" fillId="10" fontId="15" numFmtId="0" xfId="0" applyAlignment="1" applyBorder="1" applyFill="1" applyFont="1">
      <alignment horizontal="center" readingOrder="0" shrinkToFit="0" vertical="center" wrapText="1"/>
    </xf>
    <xf borderId="9" fillId="11" fontId="15" numFmtId="0" xfId="0" applyAlignment="1" applyBorder="1" applyFill="1" applyFont="1">
      <alignment horizontal="center" readingOrder="0" shrinkToFit="0" vertical="center" wrapText="1"/>
    </xf>
    <xf borderId="9" fillId="12" fontId="15" numFmtId="0" xfId="0" applyAlignment="1" applyBorder="1" applyFill="1" applyFont="1">
      <alignment horizontal="center" readingOrder="0" shrinkToFit="0" vertical="center" wrapText="1"/>
    </xf>
    <xf borderId="11" fillId="13" fontId="15" numFmtId="0" xfId="0" applyAlignment="1" applyBorder="1" applyFill="1" applyFont="1">
      <alignment horizontal="center" readingOrder="0" shrinkToFit="0" vertical="center" wrapText="1"/>
    </xf>
    <xf borderId="11" fillId="13" fontId="15" numFmtId="0" xfId="0" applyAlignment="1" applyBorder="1" applyFill="1" applyFont="1">
      <alignment horizontal="center" readingOrder="0" shrinkToFit="0" vertical="center" wrapText="1"/>
    </xf>
    <xf borderId="34" fillId="3" fontId="16" numFmtId="0" xfId="0" applyAlignment="1" applyBorder="1" applyFill="1" applyFont="1">
      <alignment horizontal="center" vertical="center"/>
    </xf>
    <xf borderId="34" fillId="3" fontId="16" numFmtId="0" xfId="0" applyAlignment="1" applyBorder="1" applyFill="1" applyFont="1">
      <alignment horizontal="left" readingOrder="0" vertical="center"/>
    </xf>
    <xf borderId="15" fillId="0" fontId="16" numFmtId="0" xfId="0" applyAlignment="1" applyBorder="1" applyFont="1">
      <alignment readingOrder="0"/>
    </xf>
    <xf borderId="10" fillId="0" fontId="16" numFmtId="0" xfId="0" applyAlignment="1" applyBorder="1" applyFont="1">
      <alignment horizontal="center" readingOrder="0"/>
    </xf>
    <xf borderId="15" fillId="0" fontId="17" numFmtId="0" xfId="0" applyAlignment="1" applyBorder="1" applyFont="1">
      <alignment horizontal="center" readingOrder="0"/>
    </xf>
    <xf borderId="15" fillId="0" fontId="2" numFmtId="0" xfId="0" applyBorder="1" applyFont="1"/>
    <xf borderId="15" fillId="0" fontId="17" numFmtId="167" xfId="0" applyAlignment="1" applyBorder="1" applyFont="1" applyNumberFormat="1">
      <alignment horizontal="center" readingOrder="0"/>
    </xf>
    <xf borderId="15" fillId="0" fontId="16" numFmtId="0" xfId="0" applyAlignment="1" applyBorder="1" applyFont="1">
      <alignment horizontal="center" readingOrder="0"/>
    </xf>
    <xf borderId="15" fillId="0" fontId="16" numFmtId="0" xfId="0" applyBorder="1" applyFont="1"/>
    <xf borderId="20" fillId="4" fontId="16" numFmtId="0" xfId="0" applyAlignment="1" applyBorder="1" applyFill="1" applyFont="1">
      <alignment horizontal="center" vertical="center"/>
    </xf>
    <xf borderId="20" fillId="4" fontId="16" numFmtId="0" xfId="0" applyAlignment="1" applyBorder="1" applyFill="1" applyFont="1">
      <alignment horizontal="left" readingOrder="0" vertical="center"/>
    </xf>
    <xf borderId="17" fillId="0" fontId="16" numFmtId="0" xfId="0" applyAlignment="1" applyBorder="1" applyFont="1">
      <alignment readingOrder="0"/>
    </xf>
    <xf borderId="18" fillId="0" fontId="16" numFmtId="0" xfId="0" applyAlignment="1" applyBorder="1" applyFont="1">
      <alignment horizontal="center" readingOrder="0"/>
    </xf>
    <xf borderId="17" fillId="0" fontId="16" numFmtId="0" xfId="0" applyAlignment="1" applyBorder="1" applyFont="1">
      <alignment horizontal="center"/>
    </xf>
    <xf borderId="17" fillId="0" fontId="16" numFmtId="0" xfId="0" applyBorder="1" applyFont="1"/>
    <xf borderId="20" fillId="3" fontId="16" numFmtId="0" xfId="0" applyAlignment="1" applyBorder="1" applyFill="1" applyFont="1">
      <alignment horizontal="center" vertical="center"/>
    </xf>
    <xf borderId="20" fillId="3" fontId="16" numFmtId="0" xfId="0" applyAlignment="1" applyBorder="1" applyFill="1" applyFont="1">
      <alignment horizontal="left" readingOrder="0" vertical="center"/>
    </xf>
    <xf borderId="20" fillId="3" fontId="16" numFmtId="0" xfId="0" applyAlignment="1" applyBorder="1" applyFill="1" applyFont="1">
      <alignment horizontal="center" readingOrder="0" vertical="center"/>
    </xf>
    <xf borderId="20" fillId="3" fontId="16" numFmtId="0" xfId="0" applyAlignment="1" applyBorder="1" applyFill="1" applyFont="1">
      <alignment horizontal="left" vertical="center"/>
    </xf>
    <xf borderId="19" fillId="10" fontId="15" numFmtId="0" xfId="0" applyAlignment="1" applyBorder="1" applyFill="1" applyFont="1">
      <alignment horizontal="center" readingOrder="0" shrinkToFit="0" vertical="center" wrapText="1"/>
    </xf>
    <xf borderId="19" fillId="10" fontId="15" numFmtId="0" xfId="0" applyAlignment="1" applyBorder="1" applyFill="1" applyFont="1">
      <alignment horizontal="center" readingOrder="0" shrinkToFit="0" vertical="center" wrapText="1"/>
    </xf>
    <xf borderId="35" fillId="11" fontId="15" numFmtId="0" xfId="0" applyAlignment="1" applyBorder="1" applyFill="1" applyFont="1">
      <alignment horizontal="center" readingOrder="0" shrinkToFit="0" vertical="center" wrapText="1"/>
    </xf>
    <xf borderId="18" fillId="0" fontId="2" numFmtId="0" xfId="0" applyBorder="1" applyFont="1"/>
    <xf borderId="18" fillId="11" fontId="15" numFmtId="0" xfId="0" applyAlignment="1" applyBorder="1" applyFill="1" applyFont="1">
      <alignment horizontal="center" readingOrder="0" shrinkToFit="0" vertical="center" wrapText="1"/>
    </xf>
    <xf borderId="35" fillId="12" fontId="15" numFmtId="0" xfId="0" applyAlignment="1" applyBorder="1" applyFill="1" applyFont="1">
      <alignment horizontal="center" readingOrder="0" shrinkToFit="0" vertical="center" wrapText="1"/>
    </xf>
    <xf borderId="19" fillId="13" fontId="15" numFmtId="0" xfId="0" applyAlignment="1" applyBorder="1" applyFill="1" applyFont="1">
      <alignment horizontal="center" readingOrder="0" shrinkToFit="0" vertical="center" wrapText="1"/>
    </xf>
    <xf borderId="19" fillId="13" fontId="15" numFmtId="0" xfId="0" applyAlignment="1" applyBorder="1" applyFill="1" applyFont="1">
      <alignment horizontal="center" readingOrder="0" shrinkToFit="0" vertical="center" wrapText="1"/>
    </xf>
    <xf borderId="17" fillId="0" fontId="17" numFmtId="0" xfId="0" applyAlignment="1" applyBorder="1" applyFont="1">
      <alignment horizontal="center" readingOrder="0"/>
    </xf>
    <xf borderId="17" fillId="0" fontId="17" numFmtId="167" xfId="0" applyAlignment="1" applyBorder="1" applyFont="1" applyNumberFormat="1">
      <alignment horizontal="center" readingOrder="0"/>
    </xf>
    <xf borderId="17" fillId="0" fontId="2" numFmtId="0" xfId="0" applyBorder="1" applyFont="1"/>
    <xf borderId="17" fillId="0" fontId="17" numFmtId="0" xfId="0" applyAlignment="1" applyBorder="1" applyFont="1">
      <alignment horizontal="center"/>
    </xf>
    <xf borderId="0" fillId="0" fontId="16" numFmtId="0" xfId="0" applyAlignment="1" applyFont="1">
      <alignment readingOrder="0"/>
    </xf>
    <xf borderId="35" fillId="10" fontId="17" numFmtId="0" xfId="0" applyAlignment="1" applyBorder="1" applyFill="1" applyFont="1">
      <alignment readingOrder="0"/>
    </xf>
    <xf borderId="17" fillId="10" fontId="17" numFmtId="0" xfId="0" applyAlignment="1" applyBorder="1" applyFill="1" applyFont="1">
      <alignment readingOrder="0"/>
    </xf>
    <xf borderId="18" fillId="10" fontId="17" numFmtId="0" xfId="0" applyAlignment="1" applyBorder="1" applyFill="1" applyFont="1">
      <alignment readingOrder="0"/>
    </xf>
    <xf borderId="35" fillId="0" fontId="16" numFmtId="0" xfId="0" applyBorder="1" applyFont="1"/>
    <xf borderId="18" fillId="0" fontId="16" numFmtId="0" xfId="0" applyBorder="1" applyFont="1"/>
  </cellXfs>
  <cellStyles count="1">
    <cellStyle xfId="0" name="Normal" builtinId="0"/>
  </cellStyles>
  <dxfs count="9">
    <dxf>
      <font/>
      <fill>
        <patternFill patternType="none"/>
      </fill>
      <border/>
    </dxf>
    <dxf>
      <font/>
      <fill>
        <patternFill patternType="solid">
          <fgColor rgb="FF626E7A"/>
          <bgColor rgb="FF626E7A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626E7A"/>
        </left>
        <right style="thin">
          <color rgb="FF626E7A"/>
        </right>
        <top style="thin">
          <color rgb="FF626E7A"/>
        </top>
        <bottom style="thin">
          <color rgb="FF626E7A"/>
        </bottom>
      </border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E699"/>
          <bgColor rgb="FFFFE699"/>
        </patternFill>
      </fill>
      <border/>
    </dxf>
    <dxf>
      <font/>
      <fill>
        <patternFill patternType="solid">
          <fgColor rgb="FFFFDEDE"/>
          <bgColor rgb="FFFFDEDE"/>
        </patternFill>
      </fill>
      <border/>
    </dxf>
    <dxf>
      <font/>
      <fill>
        <patternFill patternType="solid">
          <fgColor rgb="FFFCE4D6"/>
          <bgColor rgb="FFFCE4D6"/>
        </patternFill>
      </fill>
      <border/>
    </dxf>
  </dxfs>
  <tableStyles count="5">
    <tableStyle count="4" pivot="0" name="SO DETAIL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O DETAILS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O DETAILS-style 3">
      <tableStyleElement dxfId="5" type="headerRow"/>
      <tableStyleElement dxfId="2" type="firstRowStripe"/>
      <tableStyleElement dxfId="3" type="secondRowStripe"/>
      <tableStyleElement dxfId="4" size="0" type="wholeTable"/>
    </tableStyle>
    <tableStyle count="4" pivot="0" name="SO DETAILS-style 4">
      <tableStyleElement dxfId="5" type="headerRow"/>
      <tableStyleElement dxfId="2" type="firstRowStripe"/>
      <tableStyleElement dxfId="3" type="secondRowStripe"/>
      <tableStyleElement dxfId="4" size="0" type="wholeTable"/>
    </tableStyle>
    <tableStyle count="4" pivot="0" name="SO DETAILS-style 5">
      <tableStyleElement dxfId="5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5:M38" displayName="Table1_2" name="Table1_2" id="1">
  <tableColumns count="13">
    <tableColumn name="No" id="1"/>
    <tableColumn name="NAMA BARANG" id="2"/>
    <tableColumn name="SATUAN" id="3"/>
    <tableColumn name="THRESHOLD" id="4"/>
    <tableColumn name="STEP 1_x000a_UTUH" id="5"/>
    <tableColumn name="STEP 2_x000a_TERBUKA" id="6"/>
    <tableColumn name="TOTAL" id="7"/>
    <tableColumn name="STEP 1_x000a_UTUH_x000a_" id="8"/>
    <tableColumn name="STEP 2_x000a_TERBUKA_x000a_" id="9"/>
    <tableColumn name="TOTAL 2" id="10"/>
    <tableColumn name="PEMAKAIAN" id="11"/>
    <tableColumn name="STATUS_x000a_STOK" id="12"/>
    <tableColumn name="KETERANGAN" id="13"/>
  </tableColumns>
  <tableStyleInfo name="SO DETAILS-style" showColumnStripes="0" showFirstColumn="1" showLastColumn="1" showRowStripes="1"/>
</table>
</file>

<file path=xl/tables/table2.xml><?xml version="1.0" encoding="utf-8"?>
<table xmlns="http://schemas.openxmlformats.org/spreadsheetml/2006/main" ref="A43:M71" displayName="__2" name="__2" id="2">
  <autoFilter ref="$A$43:$M$71"/>
  <tableColumns count="13">
    <tableColumn name="No" id="1"/>
    <tableColumn name="NAMA BARANG" id="2"/>
    <tableColumn name="SATUAN" id="3"/>
    <tableColumn name="THRESHOLD" id="4"/>
    <tableColumn name="STEP 1_x000a_UTUH" id="5"/>
    <tableColumn name="STEP 2_x000a_TERBUKA" id="6"/>
    <tableColumn name="TOTAL" id="7"/>
    <tableColumn name="STEP 1_x000a_UTUH_x000a_" id="8"/>
    <tableColumn name="STEP 2_x000a_TERBUKA_x000a_" id="9"/>
    <tableColumn name="TOTAL 2" id="10"/>
    <tableColumn name="PEMAKAIAN" id="11"/>
    <tableColumn name="STATUS_x000a_STOK" id="12"/>
    <tableColumn name="KETERANGAN" id="13"/>
  </tableColumns>
  <tableStyleInfo name="SO DETAILS-style 2" showColumnStripes="0" showFirstColumn="1" showLastColumn="1" showRowStripes="1"/>
</table>
</file>

<file path=xl/tables/table3.xml><?xml version="1.0" encoding="utf-8"?>
<table xmlns="http://schemas.openxmlformats.org/spreadsheetml/2006/main" ref="A73:M118" displayName="Table3_2" name="Table3_2" id="3">
  <tableColumns count="13">
    <tableColumn name="No" id="1"/>
    <tableColumn name="NAMA BARANG" id="2"/>
    <tableColumn name="SATUAN" id="3"/>
    <tableColumn name="THRESHOLD" id="4"/>
    <tableColumn name="STEP 1_x000a_UTUH" id="5"/>
    <tableColumn name="STEP 2_x000a_TERBUKA" id="6"/>
    <tableColumn name="TOTAL" id="7"/>
    <tableColumn name="STEP 1_x000a_UTUH_x000a_" id="8"/>
    <tableColumn name="STEP 2_x000a_TERBUKA_x000a_" id="9"/>
    <tableColumn name="TOTAL 2" id="10"/>
    <tableColumn name="PEMAKAIAN" id="11"/>
    <tableColumn name="STATUS_x000a_STOK" id="12"/>
    <tableColumn name="KETERANGAN" id="13"/>
  </tableColumns>
  <tableStyleInfo name="SO DETAILS-style 3" showColumnStripes="0" showFirstColumn="1" showLastColumn="1" showRowStripes="1"/>
</table>
</file>

<file path=xl/tables/table4.xml><?xml version="1.0" encoding="utf-8"?>
<table xmlns="http://schemas.openxmlformats.org/spreadsheetml/2006/main" ref="A121:M138" displayName="Table4_2" name="Table4_2" id="4">
  <tableColumns count="13">
    <tableColumn name="No" id="1"/>
    <tableColumn name="NAMA BARANG" id="2"/>
    <tableColumn name="SATUAN" id="3"/>
    <tableColumn name="THRESHOLD" id="4"/>
    <tableColumn name="STEP 1_x000a_UTUH" id="5"/>
    <tableColumn name="STEP 2_x000a_TERBUKA" id="6"/>
    <tableColumn name="TOTAL" id="7"/>
    <tableColumn name="STEP 1_x000a_UTUH_x000a_" id="8"/>
    <tableColumn name="STEP 2_x000a_TERBUKA_x000a_" id="9"/>
    <tableColumn name="TOTAL 2" id="10"/>
    <tableColumn name="PEMAKAIAN" id="11"/>
    <tableColumn name="STATUS_x000a_STOK" id="12"/>
    <tableColumn name="KETERANGAN" id="13"/>
  </tableColumns>
  <tableStyleInfo name="SO DETAILS-style 4" showColumnStripes="0" showFirstColumn="1" showLastColumn="1" showRowStripes="1"/>
</table>
</file>

<file path=xl/tables/table5.xml><?xml version="1.0" encoding="utf-8"?>
<table xmlns="http://schemas.openxmlformats.org/spreadsheetml/2006/main" ref="A141:M154" displayName="Table5_2" name="Table5_2" id="5">
  <tableColumns count="13">
    <tableColumn name="No" id="1"/>
    <tableColumn name="NAMA BARANG" id="2"/>
    <tableColumn name="SATUAN" id="3"/>
    <tableColumn name="THRESHOLD" id="4"/>
    <tableColumn name="STEP 1_x000a_UTUH" id="5"/>
    <tableColumn name="STEP 2_x000a_TERBUKA" id="6"/>
    <tableColumn name="TOTAL" id="7"/>
    <tableColumn name="STEP 1_x000a_UTUH_x000a_" id="8"/>
    <tableColumn name="STEP 2_x000a_TERBUKA_x000a_" id="9"/>
    <tableColumn name="TOTAL 2" id="10"/>
    <tableColumn name="PEMAKAIAN" id="11"/>
    <tableColumn name="STATUS_x000a_STOK" id="12"/>
    <tableColumn name="KETERANGAN" id="13"/>
  </tableColumns>
  <tableStyleInfo name="SO DETAILS-style 5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11" Type="http://schemas.openxmlformats.org/officeDocument/2006/relationships/table" Target="../tables/table5.xml"/><Relationship Id="rId10" Type="http://schemas.openxmlformats.org/officeDocument/2006/relationships/table" Target="../tables/table4.xml"/><Relationship Id="rId9" Type="http://schemas.openxmlformats.org/officeDocument/2006/relationships/table" Target="../tables/table3.xml"/><Relationship Id="rId7" Type="http://schemas.openxmlformats.org/officeDocument/2006/relationships/table" Target="../tables/table1.xml"/><Relationship Id="rId8" Type="http://schemas.openxmlformats.org/officeDocument/2006/relationships/table" Target="../tables/table2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4.0" ySplit="5.0" topLeftCell="E6" activePane="bottomRight" state="frozen"/>
      <selection activeCell="E1" sqref="E1" pane="topRight"/>
      <selection activeCell="A6" sqref="A6" pane="bottomLeft"/>
      <selection activeCell="E6" sqref="E6" pane="bottomRight"/>
    </sheetView>
  </sheetViews>
  <sheetFormatPr customHeight="1" defaultColWidth="12.63" defaultRowHeight="15.0"/>
  <cols>
    <col customWidth="1" min="1" max="1" width="7.88"/>
    <col customWidth="1" min="2" max="2" width="27.63"/>
    <col customWidth="1" min="3" max="3" width="13.63"/>
    <col customWidth="1" min="4" max="4" width="12.63"/>
    <col customWidth="1" min="5" max="5" width="19.13"/>
    <col customWidth="1" min="6" max="6" width="15.5"/>
    <col customWidth="1" min="7" max="7" width="11.13"/>
    <col customWidth="1" min="8" max="8" width="16.25"/>
    <col customWidth="1" min="9" max="9" width="15.13"/>
    <col customWidth="1" min="10" max="10" width="12.25"/>
    <col customWidth="1" min="11" max="11" width="17.63"/>
    <col customWidth="1" min="12" max="12" width="20.88"/>
    <col customWidth="1" min="13" max="13" width="28.5"/>
  </cols>
  <sheetData>
    <row r="1" ht="24.0" customHeight="1">
      <c r="A1" s="17"/>
      <c r="E1" s="17" t="s">
        <v>19</v>
      </c>
      <c r="K1" s="17"/>
      <c r="L1" s="17"/>
      <c r="M1" s="17"/>
    </row>
    <row r="2" ht="24.0" customHeight="1">
      <c r="B2" s="18"/>
      <c r="C2" s="18"/>
      <c r="D2" s="19"/>
      <c r="E2" s="18" t="s">
        <v>22</v>
      </c>
      <c r="F2" s="5"/>
      <c r="G2" s="5"/>
      <c r="H2" s="20" t="s">
        <v>24</v>
      </c>
      <c r="I2" s="5"/>
      <c r="J2" s="5"/>
      <c r="K2" s="20"/>
      <c r="L2" s="20"/>
      <c r="M2" s="21"/>
    </row>
    <row r="3" ht="24.0" customHeight="1">
      <c r="A3" s="22" t="s">
        <v>26</v>
      </c>
      <c r="B3" s="23"/>
      <c r="C3" s="24" t="s">
        <v>28</v>
      </c>
      <c r="D3" s="24" t="s">
        <v>29</v>
      </c>
      <c r="E3" s="25" t="s">
        <v>30</v>
      </c>
      <c r="F3" s="26" t="s">
        <v>32</v>
      </c>
      <c r="G3" s="23"/>
      <c r="H3" s="27" t="s">
        <v>26</v>
      </c>
      <c r="I3" s="23"/>
      <c r="J3" s="24" t="s">
        <v>28</v>
      </c>
      <c r="K3" s="24" t="s">
        <v>29</v>
      </c>
      <c r="L3" s="25" t="s">
        <v>34</v>
      </c>
      <c r="M3" s="25" t="s">
        <v>35</v>
      </c>
    </row>
    <row r="4" ht="24.0" customHeight="1">
      <c r="A4" s="28" t="s">
        <v>36</v>
      </c>
      <c r="B4" s="29"/>
      <c r="C4" s="29"/>
      <c r="D4" s="30"/>
      <c r="E4" s="31"/>
      <c r="F4" s="32"/>
      <c r="G4" s="33"/>
      <c r="H4" s="34"/>
      <c r="I4" s="35"/>
      <c r="J4" s="36"/>
      <c r="K4" s="37" t="s">
        <v>40</v>
      </c>
      <c r="L4" s="29"/>
      <c r="M4" s="30"/>
    </row>
    <row r="5" ht="28.5" customHeight="1">
      <c r="A5" s="38" t="s">
        <v>2</v>
      </c>
      <c r="B5" s="38" t="s">
        <v>3</v>
      </c>
      <c r="C5" s="38" t="s">
        <v>44</v>
      </c>
      <c r="D5" s="39" t="s">
        <v>45</v>
      </c>
      <c r="E5" s="40" t="s">
        <v>47</v>
      </c>
      <c r="F5" s="40" t="s">
        <v>48</v>
      </c>
      <c r="G5" s="40" t="s">
        <v>50</v>
      </c>
      <c r="H5" s="41" t="s">
        <v>51</v>
      </c>
      <c r="I5" s="41" t="s">
        <v>53</v>
      </c>
      <c r="J5" s="41" t="s">
        <v>55</v>
      </c>
      <c r="K5" s="42" t="s">
        <v>56</v>
      </c>
      <c r="L5" s="43" t="s">
        <v>58</v>
      </c>
      <c r="M5" s="42" t="s">
        <v>60</v>
      </c>
    </row>
    <row r="6" ht="19.5" customHeight="1">
      <c r="A6" s="44">
        <v>27.0</v>
      </c>
      <c r="B6" s="45" t="s">
        <v>57</v>
      </c>
      <c r="C6" s="46" t="s">
        <v>63</v>
      </c>
      <c r="D6" s="47">
        <v>2.0</v>
      </c>
      <c r="E6" s="48">
        <v>0.0</v>
      </c>
      <c r="F6" s="48">
        <v>1.0</v>
      </c>
      <c r="G6" s="48">
        <v>1.0</v>
      </c>
      <c r="H6" s="50">
        <v>0.0</v>
      </c>
      <c r="I6" s="50">
        <v>1.0</v>
      </c>
      <c r="J6" s="51">
        <f t="shared" ref="J6:J8" si="1">H6+I6</f>
        <v>1</v>
      </c>
      <c r="K6" s="46">
        <f t="shared" ref="K6:K39" si="2">IF(COUNTA(G6,J6)=0,"",IF(J6-G6=0,0,IF(J6-G6&gt;0,"+"&amp;(J6-G6),J6-G6)))</f>
        <v>0</v>
      </c>
      <c r="L6" s="46" t="str">
        <f t="shared" ref="L6:L38" si="3">IF(D6=0,"—",IF(J6&lt;=D6,"🔴 KRITIS",IF(J6&lt;=D6*2,"🟠 HAMPIR HABIS","🟢 AMAN")))</f>
        <v>🔴 KRITIS</v>
      </c>
      <c r="M6" s="46"/>
    </row>
    <row r="7" ht="16.5" customHeight="1">
      <c r="A7" s="52">
        <v>28.0</v>
      </c>
      <c r="B7" s="53" t="s">
        <v>59</v>
      </c>
      <c r="C7" s="52" t="s">
        <v>63</v>
      </c>
      <c r="D7" s="54">
        <v>2.0</v>
      </c>
      <c r="E7" s="55">
        <v>0.0</v>
      </c>
      <c r="F7" s="56">
        <v>0.0</v>
      </c>
      <c r="G7" s="57">
        <v>0.0</v>
      </c>
      <c r="H7" s="50">
        <v>0.0</v>
      </c>
      <c r="I7" s="50">
        <v>0.0</v>
      </c>
      <c r="J7" s="51">
        <f t="shared" si="1"/>
        <v>0</v>
      </c>
      <c r="K7" s="58">
        <f t="shared" si="2"/>
        <v>0</v>
      </c>
      <c r="L7" s="52" t="str">
        <f t="shared" si="3"/>
        <v>🔴 KRITIS</v>
      </c>
      <c r="M7" s="52"/>
    </row>
    <row r="8" ht="18.0" customHeight="1">
      <c r="A8" s="52">
        <v>2.0</v>
      </c>
      <c r="B8" s="53" t="s">
        <v>11</v>
      </c>
      <c r="C8" s="52" t="s">
        <v>63</v>
      </c>
      <c r="D8" s="59">
        <f>'⚙️ Master Threshold'!E7</f>
        <v>1</v>
      </c>
      <c r="E8" s="55">
        <v>0.0</v>
      </c>
      <c r="F8" s="56">
        <v>1.0</v>
      </c>
      <c r="G8" s="57">
        <v>1.0</v>
      </c>
      <c r="H8" s="50">
        <v>0.0</v>
      </c>
      <c r="I8" s="50">
        <v>1.0</v>
      </c>
      <c r="J8" s="51">
        <f t="shared" si="1"/>
        <v>1</v>
      </c>
      <c r="K8" s="58">
        <f t="shared" si="2"/>
        <v>0</v>
      </c>
      <c r="L8" s="52" t="str">
        <f t="shared" si="3"/>
        <v>🔴 KRITIS</v>
      </c>
      <c r="M8" s="52"/>
    </row>
    <row r="9" ht="18.0" customHeight="1">
      <c r="A9" s="52">
        <v>6.0</v>
      </c>
      <c r="B9" s="53" t="s">
        <v>15</v>
      </c>
      <c r="C9" s="52" t="s">
        <v>92</v>
      </c>
      <c r="D9" s="59">
        <f>'⚙️ Master Threshold'!E11</f>
        <v>8</v>
      </c>
      <c r="E9" s="55">
        <v>0.0</v>
      </c>
      <c r="F9" s="56">
        <v>14.0</v>
      </c>
      <c r="G9" s="57">
        <v>7.0</v>
      </c>
      <c r="H9" s="50">
        <v>0.0</v>
      </c>
      <c r="I9" s="50">
        <v>14.0</v>
      </c>
      <c r="J9" s="51">
        <f t="shared" ref="J9:J10" si="4">H9+I9-7</f>
        <v>7</v>
      </c>
      <c r="K9" s="58">
        <f t="shared" si="2"/>
        <v>0</v>
      </c>
      <c r="L9" s="52" t="str">
        <f t="shared" si="3"/>
        <v>🔴 KRITIS</v>
      </c>
      <c r="M9" s="52"/>
    </row>
    <row r="10" ht="22.5" customHeight="1">
      <c r="A10" s="61">
        <v>7.0</v>
      </c>
      <c r="B10" s="62" t="s">
        <v>16</v>
      </c>
      <c r="C10" s="61" t="s">
        <v>92</v>
      </c>
      <c r="D10" s="59">
        <f>'⚙️ Master Threshold'!E12</f>
        <v>8</v>
      </c>
      <c r="E10" s="55">
        <v>0.0</v>
      </c>
      <c r="F10" s="56">
        <v>12.0</v>
      </c>
      <c r="G10" s="57">
        <v>5.0</v>
      </c>
      <c r="H10" s="50">
        <v>0.0</v>
      </c>
      <c r="I10" s="50">
        <v>12.0</v>
      </c>
      <c r="J10" s="51">
        <f t="shared" si="4"/>
        <v>5</v>
      </c>
      <c r="K10" s="58">
        <f t="shared" si="2"/>
        <v>0</v>
      </c>
      <c r="L10" s="61" t="str">
        <f t="shared" si="3"/>
        <v>🔴 KRITIS</v>
      </c>
      <c r="M10" s="61"/>
    </row>
    <row r="11" ht="18.0" customHeight="1">
      <c r="A11" s="61">
        <v>9.0</v>
      </c>
      <c r="B11" s="62" t="s">
        <v>18</v>
      </c>
      <c r="C11" s="61" t="s">
        <v>92</v>
      </c>
      <c r="D11" s="59">
        <f>'⚙️ Master Threshold'!E14</f>
        <v>380</v>
      </c>
      <c r="E11" s="55">
        <v>0.0</v>
      </c>
      <c r="F11" s="56">
        <v>434.0</v>
      </c>
      <c r="G11" s="57">
        <v>319.0</v>
      </c>
      <c r="H11" s="50">
        <v>0.0</v>
      </c>
      <c r="I11" s="50">
        <v>434.0</v>
      </c>
      <c r="J11" s="51">
        <f>H11+I11-115</f>
        <v>319</v>
      </c>
      <c r="K11" s="58">
        <f t="shared" si="2"/>
        <v>0</v>
      </c>
      <c r="L11" s="61" t="str">
        <f t="shared" si="3"/>
        <v>🔴 KRITIS</v>
      </c>
      <c r="M11" s="61"/>
    </row>
    <row r="12" ht="22.5" customHeight="1">
      <c r="A12" s="52">
        <v>20.0</v>
      </c>
      <c r="B12" s="53" t="s">
        <v>41</v>
      </c>
      <c r="C12" s="52" t="s">
        <v>63</v>
      </c>
      <c r="D12" s="59">
        <f>'⚙️ Master Threshold'!E25</f>
        <v>1</v>
      </c>
      <c r="E12" s="55">
        <v>0.0</v>
      </c>
      <c r="F12" s="56">
        <v>0.0</v>
      </c>
      <c r="G12" s="57">
        <v>0.0</v>
      </c>
      <c r="H12" s="50">
        <v>0.0</v>
      </c>
      <c r="I12" s="50">
        <v>0.0</v>
      </c>
      <c r="J12" s="51">
        <f t="shared" ref="J12:J26" si="5">H12+I12</f>
        <v>0</v>
      </c>
      <c r="K12" s="58">
        <f t="shared" si="2"/>
        <v>0</v>
      </c>
      <c r="L12" s="52" t="str">
        <f t="shared" si="3"/>
        <v>🔴 KRITIS</v>
      </c>
      <c r="M12" s="52"/>
    </row>
    <row r="13" ht="18.0" customHeight="1">
      <c r="A13" s="61">
        <v>21.0</v>
      </c>
      <c r="B13" s="62" t="s">
        <v>42</v>
      </c>
      <c r="C13" s="61" t="s">
        <v>116</v>
      </c>
      <c r="D13" s="59">
        <f>'⚙️ Master Threshold'!E26</f>
        <v>1</v>
      </c>
      <c r="E13" s="55">
        <v>0.0</v>
      </c>
      <c r="F13" s="56">
        <v>1.0</v>
      </c>
      <c r="G13" s="57">
        <v>1.0</v>
      </c>
      <c r="H13" s="50">
        <v>0.0</v>
      </c>
      <c r="I13" s="50">
        <v>1.0</v>
      </c>
      <c r="J13" s="51">
        <f t="shared" si="5"/>
        <v>1</v>
      </c>
      <c r="K13" s="58">
        <f t="shared" si="2"/>
        <v>0</v>
      </c>
      <c r="L13" s="61" t="str">
        <f t="shared" si="3"/>
        <v>🔴 KRITIS</v>
      </c>
      <c r="M13" s="61"/>
    </row>
    <row r="14" ht="18.0" customHeight="1">
      <c r="A14" s="52">
        <v>22.0</v>
      </c>
      <c r="B14" s="53" t="s">
        <v>43</v>
      </c>
      <c r="C14" s="52" t="s">
        <v>116</v>
      </c>
      <c r="D14" s="59">
        <f>'⚙️ Master Threshold'!E27</f>
        <v>1</v>
      </c>
      <c r="E14" s="55">
        <v>0.0</v>
      </c>
      <c r="F14" s="56">
        <v>1.0</v>
      </c>
      <c r="G14" s="57">
        <v>1.0</v>
      </c>
      <c r="H14" s="50">
        <v>0.0</v>
      </c>
      <c r="I14" s="50">
        <v>1.0</v>
      </c>
      <c r="J14" s="51">
        <f t="shared" si="5"/>
        <v>1</v>
      </c>
      <c r="K14" s="58">
        <f t="shared" si="2"/>
        <v>0</v>
      </c>
      <c r="L14" s="52" t="str">
        <f t="shared" si="3"/>
        <v>🔴 KRITIS</v>
      </c>
      <c r="M14" s="52"/>
    </row>
    <row r="15" ht="18.0" customHeight="1">
      <c r="A15" s="61">
        <v>23.0</v>
      </c>
      <c r="B15" s="62" t="s">
        <v>46</v>
      </c>
      <c r="C15" s="61" t="s">
        <v>116</v>
      </c>
      <c r="D15" s="59">
        <f>'⚙️ Master Threshold'!E28</f>
        <v>1</v>
      </c>
      <c r="E15" s="55">
        <v>0.0</v>
      </c>
      <c r="F15" s="56">
        <v>1.0</v>
      </c>
      <c r="G15" s="57">
        <v>1.0</v>
      </c>
      <c r="H15" s="50">
        <v>0.0</v>
      </c>
      <c r="I15" s="50">
        <v>1.0</v>
      </c>
      <c r="J15" s="51">
        <f t="shared" si="5"/>
        <v>1</v>
      </c>
      <c r="K15" s="58">
        <f t="shared" si="2"/>
        <v>0</v>
      </c>
      <c r="L15" s="61" t="str">
        <f t="shared" si="3"/>
        <v>🔴 KRITIS</v>
      </c>
      <c r="M15" s="61"/>
    </row>
    <row r="16" ht="22.5" customHeight="1">
      <c r="A16" s="61">
        <v>31.0</v>
      </c>
      <c r="B16" s="62" t="s">
        <v>64</v>
      </c>
      <c r="C16" s="61" t="s">
        <v>92</v>
      </c>
      <c r="D16" s="59">
        <f>'⚙️ Master Threshold'!E36</f>
        <v>5</v>
      </c>
      <c r="E16" s="55">
        <v>0.0</v>
      </c>
      <c r="F16" s="56">
        <v>0.0</v>
      </c>
      <c r="G16" s="57">
        <v>0.0</v>
      </c>
      <c r="H16" s="50">
        <v>0.0</v>
      </c>
      <c r="I16" s="50">
        <v>0.0</v>
      </c>
      <c r="J16" s="51">
        <f t="shared" si="5"/>
        <v>0</v>
      </c>
      <c r="K16" s="58">
        <f t="shared" si="2"/>
        <v>0</v>
      </c>
      <c r="L16" s="61" t="str">
        <f t="shared" si="3"/>
        <v>🔴 KRITIS</v>
      </c>
      <c r="M16" s="61"/>
    </row>
    <row r="17" ht="18.0" customHeight="1">
      <c r="A17" s="61">
        <v>11.0</v>
      </c>
      <c r="B17" s="62" t="s">
        <v>21</v>
      </c>
      <c r="C17" s="61" t="s">
        <v>92</v>
      </c>
      <c r="D17" s="54">
        <v>100.0</v>
      </c>
      <c r="E17" s="55">
        <v>0.0</v>
      </c>
      <c r="F17" s="56">
        <v>139.0</v>
      </c>
      <c r="G17" s="57">
        <v>139.0</v>
      </c>
      <c r="H17" s="50">
        <v>0.0</v>
      </c>
      <c r="I17" s="50">
        <f>53+86</f>
        <v>139</v>
      </c>
      <c r="J17" s="51">
        <f t="shared" si="5"/>
        <v>139</v>
      </c>
      <c r="K17" s="58">
        <f t="shared" si="2"/>
        <v>0</v>
      </c>
      <c r="L17" s="61" t="str">
        <f t="shared" si="3"/>
        <v>🟠 HAMPIR HABIS</v>
      </c>
      <c r="M17" s="61"/>
    </row>
    <row r="18" ht="18.0" customHeight="1">
      <c r="A18" s="61">
        <v>29.0</v>
      </c>
      <c r="B18" s="62" t="s">
        <v>61</v>
      </c>
      <c r="C18" s="61" t="s">
        <v>63</v>
      </c>
      <c r="D18" s="54">
        <v>2.0</v>
      </c>
      <c r="E18" s="55">
        <v>0.0</v>
      </c>
      <c r="F18" s="56">
        <v>3.0</v>
      </c>
      <c r="G18" s="57">
        <v>3.0</v>
      </c>
      <c r="H18" s="50">
        <v>0.0</v>
      </c>
      <c r="I18" s="50">
        <v>3.0</v>
      </c>
      <c r="J18" s="51">
        <f t="shared" si="5"/>
        <v>3</v>
      </c>
      <c r="K18" s="58">
        <f t="shared" si="2"/>
        <v>0</v>
      </c>
      <c r="L18" s="61" t="str">
        <f t="shared" si="3"/>
        <v>🟠 HAMPIR HABIS</v>
      </c>
      <c r="M18" s="61"/>
    </row>
    <row r="19" ht="18.0" customHeight="1">
      <c r="A19" s="52">
        <v>4.0</v>
      </c>
      <c r="B19" s="53" t="s">
        <v>13</v>
      </c>
      <c r="C19" s="52" t="s">
        <v>92</v>
      </c>
      <c r="D19" s="59">
        <f>'⚙️ Master Threshold'!E9</f>
        <v>125</v>
      </c>
      <c r="E19" s="55">
        <v>0.0</v>
      </c>
      <c r="F19" s="56">
        <v>174.0</v>
      </c>
      <c r="G19" s="57">
        <v>174.0</v>
      </c>
      <c r="H19" s="50">
        <v>0.0</v>
      </c>
      <c r="I19" s="50">
        <v>174.0</v>
      </c>
      <c r="J19" s="51">
        <f t="shared" si="5"/>
        <v>174</v>
      </c>
      <c r="K19" s="58">
        <f t="shared" si="2"/>
        <v>0</v>
      </c>
      <c r="L19" s="52" t="str">
        <f t="shared" si="3"/>
        <v>🟠 HAMPIR HABIS</v>
      </c>
      <c r="M19" s="52"/>
    </row>
    <row r="20" ht="18.0" customHeight="1">
      <c r="A20" s="61">
        <v>19.0</v>
      </c>
      <c r="B20" s="62" t="s">
        <v>39</v>
      </c>
      <c r="C20" s="61" t="s">
        <v>92</v>
      </c>
      <c r="D20" s="59">
        <f>'⚙️ Master Threshold'!E24</f>
        <v>45</v>
      </c>
      <c r="E20" s="55">
        <v>0.0</v>
      </c>
      <c r="F20" s="56">
        <v>83.0</v>
      </c>
      <c r="G20" s="57">
        <v>83.0</v>
      </c>
      <c r="H20" s="50">
        <v>0.0</v>
      </c>
      <c r="I20" s="50">
        <v>83.0</v>
      </c>
      <c r="J20" s="51">
        <f t="shared" si="5"/>
        <v>83</v>
      </c>
      <c r="K20" s="58">
        <f t="shared" si="2"/>
        <v>0</v>
      </c>
      <c r="L20" s="61" t="str">
        <f t="shared" si="3"/>
        <v>🟠 HAMPIR HABIS</v>
      </c>
      <c r="M20" s="61"/>
    </row>
    <row r="21" ht="18.0" customHeight="1">
      <c r="A21" s="52">
        <v>30.0</v>
      </c>
      <c r="B21" s="53" t="s">
        <v>62</v>
      </c>
      <c r="C21" s="52" t="s">
        <v>92</v>
      </c>
      <c r="D21" s="59">
        <f>'⚙️ Master Threshold'!E35</f>
        <v>100</v>
      </c>
      <c r="E21" s="55">
        <v>0.0</v>
      </c>
      <c r="F21" s="56">
        <v>102.0</v>
      </c>
      <c r="G21" s="57">
        <v>102.0</v>
      </c>
      <c r="H21" s="50">
        <v>0.0</v>
      </c>
      <c r="I21" s="50">
        <v>101.0</v>
      </c>
      <c r="J21" s="51">
        <f t="shared" si="5"/>
        <v>101</v>
      </c>
      <c r="K21" s="58">
        <f t="shared" si="2"/>
        <v>-1</v>
      </c>
      <c r="L21" s="52" t="str">
        <f t="shared" si="3"/>
        <v>🟠 HAMPIR HABIS</v>
      </c>
      <c r="M21" s="52"/>
    </row>
    <row r="22" ht="18.0" customHeight="1">
      <c r="A22" s="61">
        <v>32.0</v>
      </c>
      <c r="B22" s="62" t="s">
        <v>65</v>
      </c>
      <c r="C22" s="61" t="s">
        <v>92</v>
      </c>
      <c r="D22" s="59">
        <f>'⚙️ Master Threshold'!E37</f>
        <v>40</v>
      </c>
      <c r="E22" s="55">
        <v>0.0</v>
      </c>
      <c r="F22" s="56">
        <v>59.0</v>
      </c>
      <c r="G22" s="57">
        <v>59.0</v>
      </c>
      <c r="H22" s="50">
        <v>0.0</v>
      </c>
      <c r="I22" s="50">
        <v>59.0</v>
      </c>
      <c r="J22" s="51">
        <f t="shared" si="5"/>
        <v>59</v>
      </c>
      <c r="K22" s="58">
        <f t="shared" si="2"/>
        <v>0</v>
      </c>
      <c r="L22" s="61" t="str">
        <f t="shared" si="3"/>
        <v>🟠 HAMPIR HABIS</v>
      </c>
      <c r="M22" s="61"/>
    </row>
    <row r="23" ht="18.0" customHeight="1">
      <c r="A23" s="61">
        <v>25.0</v>
      </c>
      <c r="B23" s="62" t="s">
        <v>52</v>
      </c>
      <c r="C23" s="61" t="s">
        <v>92</v>
      </c>
      <c r="D23" s="54">
        <v>5.0</v>
      </c>
      <c r="E23" s="55">
        <v>0.0</v>
      </c>
      <c r="F23" s="56">
        <v>40.0</v>
      </c>
      <c r="G23" s="57">
        <v>40.0</v>
      </c>
      <c r="H23" s="50">
        <v>0.0</v>
      </c>
      <c r="I23" s="50">
        <v>40.0</v>
      </c>
      <c r="J23" s="51">
        <f t="shared" si="5"/>
        <v>40</v>
      </c>
      <c r="K23" s="58">
        <f t="shared" si="2"/>
        <v>0</v>
      </c>
      <c r="L23" s="61" t="str">
        <f t="shared" si="3"/>
        <v>🟢 AMAN</v>
      </c>
      <c r="M23" s="61"/>
    </row>
    <row r="24" ht="18.0" customHeight="1">
      <c r="A24" s="61">
        <v>1.0</v>
      </c>
      <c r="B24" s="62" t="s">
        <v>9</v>
      </c>
      <c r="C24" s="61" t="s">
        <v>168</v>
      </c>
      <c r="D24" s="59">
        <f>'⚙️ Master Threshold'!E6</f>
        <v>2</v>
      </c>
      <c r="E24" s="55">
        <v>20.0</v>
      </c>
      <c r="F24" s="56">
        <v>0.0</v>
      </c>
      <c r="G24" s="57">
        <v>20.0</v>
      </c>
      <c r="H24" s="63">
        <v>20.0</v>
      </c>
      <c r="I24" s="50">
        <v>0.0</v>
      </c>
      <c r="J24" s="51">
        <f t="shared" si="5"/>
        <v>20</v>
      </c>
      <c r="K24" s="58">
        <f t="shared" si="2"/>
        <v>0</v>
      </c>
      <c r="L24" s="61" t="str">
        <f t="shared" si="3"/>
        <v>🟢 AMAN</v>
      </c>
      <c r="M24" s="61"/>
    </row>
    <row r="25" ht="18.0" customHeight="1">
      <c r="A25" s="61">
        <v>3.0</v>
      </c>
      <c r="B25" s="62" t="s">
        <v>173</v>
      </c>
      <c r="C25" s="61" t="s">
        <v>175</v>
      </c>
      <c r="D25" s="59">
        <f>'⚙️ Master Threshold'!E8</f>
        <v>5</v>
      </c>
      <c r="E25" s="55">
        <v>38.0</v>
      </c>
      <c r="F25" s="56">
        <v>0.0</v>
      </c>
      <c r="G25" s="57">
        <v>38.0</v>
      </c>
      <c r="H25" s="50">
        <v>36.0</v>
      </c>
      <c r="I25" s="50">
        <v>17.0</v>
      </c>
      <c r="J25" s="51">
        <f t="shared" si="5"/>
        <v>53</v>
      </c>
      <c r="K25" s="58" t="str">
        <f t="shared" si="2"/>
        <v>+15</v>
      </c>
      <c r="L25" s="61" t="str">
        <f t="shared" si="3"/>
        <v>🟢 AMAN</v>
      </c>
      <c r="M25" s="61"/>
    </row>
    <row r="26" ht="18.0" customHeight="1">
      <c r="A26" s="61">
        <v>5.0</v>
      </c>
      <c r="B26" s="62" t="s">
        <v>14</v>
      </c>
      <c r="C26" s="61" t="s">
        <v>168</v>
      </c>
      <c r="D26" s="59">
        <f>'⚙️ Master Threshold'!E10</f>
        <v>1</v>
      </c>
      <c r="E26" s="55">
        <v>0.0</v>
      </c>
      <c r="F26" s="56">
        <v>4.0</v>
      </c>
      <c r="G26" s="57">
        <v>4.0</v>
      </c>
      <c r="H26" s="50">
        <v>0.0</v>
      </c>
      <c r="I26" s="67">
        <v>3.0</v>
      </c>
      <c r="J26" s="68">
        <f t="shared" si="5"/>
        <v>3</v>
      </c>
      <c r="K26" s="69">
        <f t="shared" si="2"/>
        <v>-1</v>
      </c>
      <c r="L26" s="61" t="str">
        <f t="shared" si="3"/>
        <v>🟢 AMAN</v>
      </c>
      <c r="M26" s="61"/>
    </row>
    <row r="27" ht="15.75" customHeight="1">
      <c r="A27" s="52">
        <v>8.0</v>
      </c>
      <c r="B27" s="53" t="s">
        <v>17</v>
      </c>
      <c r="C27" s="52" t="s">
        <v>92</v>
      </c>
      <c r="D27" s="59">
        <f>'⚙️ Master Threshold'!E13</f>
        <v>8</v>
      </c>
      <c r="E27" s="55">
        <v>0.0</v>
      </c>
      <c r="F27" s="56">
        <v>39.0</v>
      </c>
      <c r="G27" s="57">
        <v>32.0</v>
      </c>
      <c r="H27" s="50">
        <v>0.0</v>
      </c>
      <c r="I27" s="50">
        <v>39.0</v>
      </c>
      <c r="J27" s="51">
        <f>H27+I27-7</f>
        <v>32</v>
      </c>
      <c r="K27" s="58">
        <f t="shared" si="2"/>
        <v>0</v>
      </c>
      <c r="L27" s="52" t="str">
        <f t="shared" si="3"/>
        <v>🟢 AMAN</v>
      </c>
      <c r="M27" s="52"/>
    </row>
    <row r="28" ht="18.0" customHeight="1">
      <c r="A28" s="52">
        <v>10.0</v>
      </c>
      <c r="B28" s="53" t="s">
        <v>20</v>
      </c>
      <c r="C28" s="52" t="s">
        <v>92</v>
      </c>
      <c r="D28" s="59">
        <f>'⚙️ Master Threshold'!E15</f>
        <v>125</v>
      </c>
      <c r="E28" s="55">
        <v>200.0</v>
      </c>
      <c r="F28" s="56">
        <v>160.0</v>
      </c>
      <c r="G28" s="57">
        <v>360.0</v>
      </c>
      <c r="H28" s="50">
        <v>200.0</v>
      </c>
      <c r="I28" s="50">
        <v>160.0</v>
      </c>
      <c r="J28" s="51">
        <f t="shared" ref="J28:J34" si="6">H28+I28</f>
        <v>360</v>
      </c>
      <c r="K28" s="58">
        <f t="shared" si="2"/>
        <v>0</v>
      </c>
      <c r="L28" s="52" t="str">
        <f t="shared" si="3"/>
        <v>🟢 AMAN</v>
      </c>
      <c r="M28" s="52"/>
    </row>
    <row r="29" ht="18.0" customHeight="1">
      <c r="A29" s="52">
        <v>12.0</v>
      </c>
      <c r="B29" s="53" t="s">
        <v>23</v>
      </c>
      <c r="C29" s="52" t="s">
        <v>63</v>
      </c>
      <c r="D29" s="59">
        <f>'⚙️ Master Threshold'!E17</f>
        <v>10</v>
      </c>
      <c r="E29" s="55">
        <v>24.0</v>
      </c>
      <c r="F29" s="56">
        <v>23.0</v>
      </c>
      <c r="G29" s="57">
        <v>47.0</v>
      </c>
      <c r="H29" s="50">
        <v>24.0</v>
      </c>
      <c r="I29" s="50">
        <v>23.0</v>
      </c>
      <c r="J29" s="51">
        <f t="shared" si="6"/>
        <v>47</v>
      </c>
      <c r="K29" s="58">
        <f t="shared" si="2"/>
        <v>0</v>
      </c>
      <c r="L29" s="52" t="str">
        <f t="shared" si="3"/>
        <v>🟢 AMAN</v>
      </c>
      <c r="M29" s="52"/>
    </row>
    <row r="30" ht="18.0" customHeight="1">
      <c r="A30" s="61">
        <v>13.0</v>
      </c>
      <c r="B30" s="62" t="s">
        <v>25</v>
      </c>
      <c r="C30" s="61" t="s">
        <v>63</v>
      </c>
      <c r="D30" s="59">
        <f>'⚙️ Master Threshold'!E18</f>
        <v>10</v>
      </c>
      <c r="E30" s="55">
        <v>48.0</v>
      </c>
      <c r="F30" s="56">
        <v>16.0</v>
      </c>
      <c r="G30" s="57">
        <v>64.0</v>
      </c>
      <c r="H30" s="50">
        <v>48.0</v>
      </c>
      <c r="I30" s="50">
        <v>16.0</v>
      </c>
      <c r="J30" s="51">
        <f t="shared" si="6"/>
        <v>64</v>
      </c>
      <c r="K30" s="58">
        <f t="shared" si="2"/>
        <v>0</v>
      </c>
      <c r="L30" s="61" t="str">
        <f t="shared" si="3"/>
        <v>🟢 AMAN</v>
      </c>
      <c r="M30" s="61"/>
    </row>
    <row r="31" ht="18.0" customHeight="1">
      <c r="A31" s="52">
        <v>14.0</v>
      </c>
      <c r="B31" s="53" t="s">
        <v>27</v>
      </c>
      <c r="C31" s="52" t="s">
        <v>92</v>
      </c>
      <c r="D31" s="59">
        <f>'⚙️ Master Threshold'!E19</f>
        <v>30</v>
      </c>
      <c r="E31" s="55">
        <v>41.0</v>
      </c>
      <c r="F31" s="56">
        <v>28.0</v>
      </c>
      <c r="G31" s="57">
        <v>69.0</v>
      </c>
      <c r="H31" s="50">
        <v>41.0</v>
      </c>
      <c r="I31" s="50">
        <v>28.0</v>
      </c>
      <c r="J31" s="51">
        <f t="shared" si="6"/>
        <v>69</v>
      </c>
      <c r="K31" s="58">
        <f t="shared" si="2"/>
        <v>0</v>
      </c>
      <c r="L31" s="52" t="str">
        <f t="shared" si="3"/>
        <v>🟢 AMAN</v>
      </c>
      <c r="M31" s="52"/>
    </row>
    <row r="32" ht="15.75" customHeight="1">
      <c r="A32" s="61">
        <v>15.0</v>
      </c>
      <c r="B32" s="62" t="s">
        <v>31</v>
      </c>
      <c r="C32" s="61" t="s">
        <v>92</v>
      </c>
      <c r="D32" s="59">
        <f>'⚙️ Master Threshold'!E20</f>
        <v>30</v>
      </c>
      <c r="E32" s="55">
        <v>129.0</v>
      </c>
      <c r="F32" s="56">
        <v>68.0</v>
      </c>
      <c r="G32" s="57">
        <v>197.0</v>
      </c>
      <c r="H32" s="50">
        <v>129.0</v>
      </c>
      <c r="I32" s="50">
        <v>68.0</v>
      </c>
      <c r="J32" s="51">
        <f t="shared" si="6"/>
        <v>197</v>
      </c>
      <c r="K32" s="58">
        <f t="shared" si="2"/>
        <v>0</v>
      </c>
      <c r="L32" s="61" t="str">
        <f t="shared" si="3"/>
        <v>🟢 AMAN</v>
      </c>
      <c r="M32" s="61"/>
    </row>
    <row r="33" ht="18.0" customHeight="1">
      <c r="A33" s="52">
        <v>16.0</v>
      </c>
      <c r="B33" s="53" t="s">
        <v>33</v>
      </c>
      <c r="C33" s="52" t="s">
        <v>92</v>
      </c>
      <c r="D33" s="59">
        <f>'⚙️ Master Threshold'!E21</f>
        <v>100</v>
      </c>
      <c r="E33" s="55">
        <v>0.0</v>
      </c>
      <c r="F33" s="56">
        <v>459.0</v>
      </c>
      <c r="G33" s="57">
        <v>459.0</v>
      </c>
      <c r="H33" s="50">
        <v>0.0</v>
      </c>
      <c r="I33" s="50">
        <v>459.0</v>
      </c>
      <c r="J33" s="51">
        <f t="shared" si="6"/>
        <v>459</v>
      </c>
      <c r="K33" s="58">
        <f t="shared" si="2"/>
        <v>0</v>
      </c>
      <c r="L33" s="52" t="str">
        <f t="shared" si="3"/>
        <v>🟢 AMAN</v>
      </c>
      <c r="M33" s="52"/>
    </row>
    <row r="34" ht="18.0" customHeight="1">
      <c r="A34" s="61">
        <v>17.0</v>
      </c>
      <c r="B34" s="62" t="s">
        <v>37</v>
      </c>
      <c r="C34" s="61" t="s">
        <v>92</v>
      </c>
      <c r="D34" s="59">
        <f>'⚙️ Master Threshold'!E22</f>
        <v>20</v>
      </c>
      <c r="E34" s="55">
        <v>104.0</v>
      </c>
      <c r="F34" s="56">
        <v>550.0</v>
      </c>
      <c r="G34" s="57">
        <v>654.0</v>
      </c>
      <c r="H34" s="50">
        <v>104.0</v>
      </c>
      <c r="I34" s="50">
        <v>550.0</v>
      </c>
      <c r="J34" s="51">
        <f t="shared" si="6"/>
        <v>654</v>
      </c>
      <c r="K34" s="58">
        <f t="shared" si="2"/>
        <v>0</v>
      </c>
      <c r="L34" s="61" t="str">
        <f t="shared" si="3"/>
        <v>🟢 AMAN</v>
      </c>
      <c r="M34" s="61"/>
    </row>
    <row r="35" ht="18.0" customHeight="1">
      <c r="A35" s="61">
        <v>25.0</v>
      </c>
      <c r="B35" s="62" t="s">
        <v>91</v>
      </c>
      <c r="C35" s="61" t="s">
        <v>92</v>
      </c>
      <c r="D35" s="59">
        <f>'⚙️ Master Threshold'!E63</f>
        <v>75</v>
      </c>
      <c r="E35" s="55">
        <v>209.0</v>
      </c>
      <c r="F35" s="56">
        <v>76.0</v>
      </c>
      <c r="G35" s="57">
        <v>260.0</v>
      </c>
      <c r="H35" s="50">
        <v>209.0</v>
      </c>
      <c r="I35" s="50">
        <v>76.0</v>
      </c>
      <c r="J35" s="51">
        <f>H35+I35-25</f>
        <v>260</v>
      </c>
      <c r="K35" s="58">
        <f t="shared" si="2"/>
        <v>0</v>
      </c>
      <c r="L35" s="61" t="str">
        <f t="shared" si="3"/>
        <v>🟢 AMAN</v>
      </c>
      <c r="M35" s="61"/>
    </row>
    <row r="36" ht="18.0" customHeight="1">
      <c r="A36" s="52">
        <v>18.0</v>
      </c>
      <c r="B36" s="53" t="s">
        <v>38</v>
      </c>
      <c r="C36" s="52" t="s">
        <v>92</v>
      </c>
      <c r="D36" s="59">
        <f>'⚙️ Master Threshold'!E23</f>
        <v>20</v>
      </c>
      <c r="E36" s="55">
        <v>0.0</v>
      </c>
      <c r="F36" s="56">
        <v>191.0</v>
      </c>
      <c r="G36" s="57">
        <v>191.0</v>
      </c>
      <c r="H36" s="50">
        <v>0.0</v>
      </c>
      <c r="I36" s="50">
        <v>191.0</v>
      </c>
      <c r="J36" s="51">
        <f t="shared" ref="J36:J38" si="7">H36+I36</f>
        <v>191</v>
      </c>
      <c r="K36" s="58">
        <f t="shared" si="2"/>
        <v>0</v>
      </c>
      <c r="L36" s="52" t="str">
        <f t="shared" si="3"/>
        <v>🟢 AMAN</v>
      </c>
      <c r="M36" s="52"/>
    </row>
    <row r="37" ht="18.0" customHeight="1">
      <c r="A37" s="52">
        <v>24.0</v>
      </c>
      <c r="B37" s="53" t="s">
        <v>49</v>
      </c>
      <c r="C37" s="52" t="s">
        <v>178</v>
      </c>
      <c r="D37" s="59">
        <f>'⚙️ Master Threshold'!E29</f>
        <v>100</v>
      </c>
      <c r="E37" s="55">
        <v>0.0</v>
      </c>
      <c r="F37" s="56">
        <v>328.0</v>
      </c>
      <c r="G37" s="57">
        <v>328.0</v>
      </c>
      <c r="H37" s="50">
        <v>0.0</v>
      </c>
      <c r="I37" s="50">
        <v>328.0</v>
      </c>
      <c r="J37" s="51">
        <f t="shared" si="7"/>
        <v>328</v>
      </c>
      <c r="K37" s="58">
        <f t="shared" si="2"/>
        <v>0</v>
      </c>
      <c r="L37" s="52" t="str">
        <f t="shared" si="3"/>
        <v>🟢 AMAN</v>
      </c>
      <c r="M37" s="52"/>
    </row>
    <row r="38" ht="18.0" customHeight="1">
      <c r="A38" s="52">
        <v>26.0</v>
      </c>
      <c r="B38" s="53" t="s">
        <v>54</v>
      </c>
      <c r="C38" s="52" t="s">
        <v>63</v>
      </c>
      <c r="D38" s="59">
        <f>'⚙️ Master Threshold'!E31</f>
        <v>3</v>
      </c>
      <c r="E38" s="55">
        <v>0.0</v>
      </c>
      <c r="F38" s="56">
        <v>23.0</v>
      </c>
      <c r="G38" s="57">
        <v>23.0</v>
      </c>
      <c r="H38" s="50">
        <v>0.0</v>
      </c>
      <c r="I38" s="50">
        <v>23.0</v>
      </c>
      <c r="J38" s="51">
        <f t="shared" si="7"/>
        <v>23</v>
      </c>
      <c r="K38" s="58">
        <f t="shared" si="2"/>
        <v>0</v>
      </c>
      <c r="L38" s="52" t="str">
        <f t="shared" si="3"/>
        <v>🟢 AMAN</v>
      </c>
      <c r="M38" s="52"/>
    </row>
    <row r="39" ht="18.0" customHeight="1">
      <c r="B39" s="70" t="s">
        <v>179</v>
      </c>
      <c r="C39" s="70"/>
      <c r="D39" s="71"/>
      <c r="E39" s="72"/>
      <c r="F39" s="72"/>
      <c r="G39" s="72"/>
      <c r="H39" s="72"/>
      <c r="I39" s="72"/>
      <c r="J39" s="72"/>
      <c r="K39" s="72" t="str">
        <f t="shared" si="2"/>
        <v/>
      </c>
      <c r="L39" s="72"/>
      <c r="M39" s="72"/>
    </row>
    <row r="40" ht="15.75" customHeight="1">
      <c r="A40" s="73"/>
      <c r="B40" s="74"/>
      <c r="C40" s="73"/>
      <c r="D40" s="75"/>
      <c r="E40" s="73"/>
      <c r="F40" s="73"/>
      <c r="G40" s="73"/>
      <c r="H40" s="73"/>
      <c r="I40" s="73"/>
      <c r="J40" s="73"/>
      <c r="K40" s="73"/>
      <c r="L40" s="73"/>
      <c r="M40" s="73"/>
    </row>
    <row r="41" ht="15.75" customHeight="1">
      <c r="A41" s="73"/>
      <c r="B41" s="74"/>
      <c r="C41" s="73"/>
      <c r="D41" s="75"/>
      <c r="E41" s="73"/>
      <c r="F41" s="73"/>
      <c r="G41" s="73"/>
      <c r="H41" s="73"/>
      <c r="I41" s="73"/>
      <c r="J41" s="73"/>
      <c r="K41" s="73"/>
      <c r="L41" s="73"/>
      <c r="M41" s="73"/>
    </row>
    <row r="42" ht="18.0" customHeight="1">
      <c r="B42" s="70" t="s">
        <v>180</v>
      </c>
      <c r="C42" s="70"/>
      <c r="D42" s="71"/>
      <c r="E42" s="72"/>
      <c r="F42" s="72"/>
      <c r="G42" s="72"/>
      <c r="H42" s="72"/>
      <c r="I42" s="72"/>
      <c r="J42" s="72"/>
      <c r="K42" s="72" t="str">
        <f>IF(COUNTA(G42,J42)=0,"",IF(J42-G42=0,0,IF(J42-G42&gt;0,"+"&amp;(J42-G42),J42-G42)))</f>
        <v/>
      </c>
      <c r="L42" s="72"/>
      <c r="M42" s="72"/>
    </row>
    <row r="43" ht="28.5" customHeight="1">
      <c r="A43" s="38" t="s">
        <v>2</v>
      </c>
      <c r="B43" s="38" t="s">
        <v>3</v>
      </c>
      <c r="C43" s="38" t="s">
        <v>44</v>
      </c>
      <c r="D43" s="39" t="s">
        <v>45</v>
      </c>
      <c r="E43" s="40" t="s">
        <v>47</v>
      </c>
      <c r="F43" s="40" t="s">
        <v>48</v>
      </c>
      <c r="G43" s="40" t="s">
        <v>50</v>
      </c>
      <c r="H43" s="41" t="s">
        <v>51</v>
      </c>
      <c r="I43" s="41" t="s">
        <v>53</v>
      </c>
      <c r="J43" s="41" t="s">
        <v>55</v>
      </c>
      <c r="K43" s="42" t="s">
        <v>56</v>
      </c>
      <c r="L43" s="43" t="s">
        <v>58</v>
      </c>
      <c r="M43" s="42" t="s">
        <v>60</v>
      </c>
    </row>
    <row r="44" ht="19.5" customHeight="1">
      <c r="A44" s="76">
        <v>11.0</v>
      </c>
      <c r="B44" s="77" t="s">
        <v>77</v>
      </c>
      <c r="C44" s="78" t="s">
        <v>92</v>
      </c>
      <c r="D44" s="79">
        <v>1.0</v>
      </c>
      <c r="E44" s="80">
        <v>0.0</v>
      </c>
      <c r="F44" s="80">
        <v>0.0</v>
      </c>
      <c r="G44" s="80">
        <v>0.0</v>
      </c>
      <c r="H44" s="50">
        <v>0.0</v>
      </c>
      <c r="I44" s="50">
        <v>0.0</v>
      </c>
      <c r="J44" s="51">
        <f t="shared" ref="J44:J45" si="8">H44+I44</f>
        <v>0</v>
      </c>
      <c r="K44" s="78">
        <f t="shared" ref="K44:K69" si="9">IF(COUNTA(G44,J44)=0,"",IF(J44-G44=0,0,IF(J44-G44&gt;0,"+"&amp;(J44-G44),J44-G44)))</f>
        <v>0</v>
      </c>
      <c r="L44" s="78" t="str">
        <f t="shared" ref="L44:L69" si="10">IF(D44=0,"—",IF(J44&lt;=D44,"🔴 KRITIS",IF(J44&lt;=D44*2,"🟠 HAMPIR HABIS","🟢 AMAN")))</f>
        <v>🔴 KRITIS</v>
      </c>
      <c r="M44" s="78"/>
    </row>
    <row r="45" ht="18.0" customHeight="1">
      <c r="A45" s="81">
        <v>4.0</v>
      </c>
      <c r="B45" s="82" t="s">
        <v>70</v>
      </c>
      <c r="C45" s="81" t="s">
        <v>92</v>
      </c>
      <c r="D45" s="83">
        <f>'⚙️ Master Threshold'!E42</f>
        <v>90</v>
      </c>
      <c r="E45" s="84">
        <v>0.0</v>
      </c>
      <c r="F45" s="85">
        <v>0.0</v>
      </c>
      <c r="G45" s="86">
        <v>0.0</v>
      </c>
      <c r="H45" s="50">
        <v>0.0</v>
      </c>
      <c r="I45" s="50">
        <v>0.0</v>
      </c>
      <c r="J45" s="51">
        <f t="shared" si="8"/>
        <v>0</v>
      </c>
      <c r="K45" s="87">
        <f t="shared" si="9"/>
        <v>0</v>
      </c>
      <c r="L45" s="81" t="str">
        <f t="shared" si="10"/>
        <v>🔴 KRITIS</v>
      </c>
      <c r="M45" s="81"/>
    </row>
    <row r="46" ht="18.0" customHeight="1">
      <c r="A46" s="88">
        <v>7.0</v>
      </c>
      <c r="B46" s="89" t="s">
        <v>73</v>
      </c>
      <c r="C46" s="88" t="s">
        <v>92</v>
      </c>
      <c r="D46" s="83">
        <f>'⚙️ Master Threshold'!E45</f>
        <v>90</v>
      </c>
      <c r="E46" s="84">
        <v>0.0</v>
      </c>
      <c r="F46" s="85">
        <v>0.0</v>
      </c>
      <c r="G46" s="86">
        <v>-42.0</v>
      </c>
      <c r="H46" s="50">
        <v>0.0</v>
      </c>
      <c r="I46" s="50">
        <v>0.0</v>
      </c>
      <c r="J46" s="51">
        <f>H46+I46-42</f>
        <v>-42</v>
      </c>
      <c r="K46" s="90">
        <f t="shared" si="9"/>
        <v>0</v>
      </c>
      <c r="L46" s="88" t="str">
        <f t="shared" si="10"/>
        <v>🔴 KRITIS</v>
      </c>
      <c r="M46" s="88"/>
    </row>
    <row r="47" ht="18.0" customHeight="1">
      <c r="A47" s="88">
        <v>13.0</v>
      </c>
      <c r="B47" s="89" t="s">
        <v>79</v>
      </c>
      <c r="C47" s="88" t="s">
        <v>181</v>
      </c>
      <c r="D47" s="83">
        <f>'⚙️ Master Threshold'!E51</f>
        <v>1000</v>
      </c>
      <c r="E47" s="91">
        <v>0.0</v>
      </c>
      <c r="F47" s="92">
        <v>1.296</v>
      </c>
      <c r="G47" s="93">
        <v>831.0</v>
      </c>
      <c r="H47" s="94">
        <v>0.0</v>
      </c>
      <c r="I47" s="50">
        <v>1296.0</v>
      </c>
      <c r="J47" s="95">
        <f>H47+I47-465</f>
        <v>831</v>
      </c>
      <c r="K47" s="90">
        <f t="shared" si="9"/>
        <v>0</v>
      </c>
      <c r="L47" s="88" t="str">
        <f t="shared" si="10"/>
        <v>🔴 KRITIS</v>
      </c>
      <c r="M47" s="88"/>
    </row>
    <row r="48" ht="18.0" customHeight="1">
      <c r="A48" s="81">
        <v>24.0</v>
      </c>
      <c r="B48" s="82" t="s">
        <v>90</v>
      </c>
      <c r="C48" s="81" t="s">
        <v>92</v>
      </c>
      <c r="D48" s="83">
        <f>'⚙️ Master Threshold'!E62</f>
        <v>100</v>
      </c>
      <c r="E48" s="84">
        <v>0.0</v>
      </c>
      <c r="F48" s="85">
        <v>0.0</v>
      </c>
      <c r="G48" s="86">
        <v>42.0</v>
      </c>
      <c r="H48" s="50">
        <v>0.0</v>
      </c>
      <c r="I48" s="63">
        <v>42.0</v>
      </c>
      <c r="J48" s="51">
        <f t="shared" ref="J48:J49" si="11">H48+I48</f>
        <v>42</v>
      </c>
      <c r="K48" s="87">
        <f t="shared" si="9"/>
        <v>0</v>
      </c>
      <c r="L48" s="81" t="str">
        <f t="shared" si="10"/>
        <v>🔴 KRITIS</v>
      </c>
      <c r="M48" s="81"/>
    </row>
    <row r="49" ht="18.0" customHeight="1">
      <c r="A49" s="88">
        <v>1.0</v>
      </c>
      <c r="B49" s="89" t="s">
        <v>67</v>
      </c>
      <c r="C49" s="88" t="s">
        <v>92</v>
      </c>
      <c r="D49" s="83">
        <f>'⚙️ Master Threshold'!E39</f>
        <v>250</v>
      </c>
      <c r="E49" s="84">
        <v>0.0</v>
      </c>
      <c r="F49" s="85">
        <v>385.0</v>
      </c>
      <c r="G49" s="86">
        <v>385.0</v>
      </c>
      <c r="H49" s="50">
        <v>0.0</v>
      </c>
      <c r="I49" s="50">
        <v>385.0</v>
      </c>
      <c r="J49" s="51">
        <f t="shared" si="11"/>
        <v>385</v>
      </c>
      <c r="K49" s="90">
        <f t="shared" si="9"/>
        <v>0</v>
      </c>
      <c r="L49" s="88" t="str">
        <f t="shared" si="10"/>
        <v>🟠 HAMPIR HABIS</v>
      </c>
      <c r="M49" s="88"/>
    </row>
    <row r="50" ht="18.0" customHeight="1">
      <c r="A50" s="81">
        <v>12.0</v>
      </c>
      <c r="B50" s="82" t="s">
        <v>78</v>
      </c>
      <c r="C50" s="81" t="s">
        <v>181</v>
      </c>
      <c r="D50" s="83">
        <f>'⚙️ Master Threshold'!E50</f>
        <v>1000</v>
      </c>
      <c r="E50" s="84">
        <v>1055.0</v>
      </c>
      <c r="F50" s="85">
        <v>771.0</v>
      </c>
      <c r="G50" s="86">
        <v>1361.0</v>
      </c>
      <c r="H50" s="50">
        <v>1055.0</v>
      </c>
      <c r="I50" s="50">
        <v>771.0</v>
      </c>
      <c r="J50" s="51">
        <f>H50+I50-465</f>
        <v>1361</v>
      </c>
      <c r="K50" s="87">
        <f t="shared" si="9"/>
        <v>0</v>
      </c>
      <c r="L50" s="81" t="str">
        <f t="shared" si="10"/>
        <v>🟠 HAMPIR HABIS</v>
      </c>
      <c r="M50" s="81"/>
    </row>
    <row r="51" ht="18.0" customHeight="1">
      <c r="A51" s="81">
        <v>18.0</v>
      </c>
      <c r="B51" s="82" t="s">
        <v>84</v>
      </c>
      <c r="C51" s="81" t="s">
        <v>92</v>
      </c>
      <c r="D51" s="83">
        <f>'⚙️ Master Threshold'!E56</f>
        <v>250</v>
      </c>
      <c r="E51" s="84">
        <v>500.0</v>
      </c>
      <c r="F51" s="85">
        <v>0.0</v>
      </c>
      <c r="G51" s="86">
        <v>500.0</v>
      </c>
      <c r="H51" s="50">
        <v>500.0</v>
      </c>
      <c r="I51" s="50">
        <v>0.0</v>
      </c>
      <c r="J51" s="51">
        <f t="shared" ref="J51:J52" si="12">H51+I51</f>
        <v>500</v>
      </c>
      <c r="K51" s="87">
        <f t="shared" si="9"/>
        <v>0</v>
      </c>
      <c r="L51" s="81" t="str">
        <f t="shared" si="10"/>
        <v>🟠 HAMPIR HABIS</v>
      </c>
      <c r="M51" s="81"/>
    </row>
    <row r="52" ht="14.25" customHeight="1">
      <c r="A52" s="96">
        <v>19.0</v>
      </c>
      <c r="B52" s="97" t="s">
        <v>85</v>
      </c>
      <c r="C52" s="96" t="s">
        <v>92</v>
      </c>
      <c r="D52" s="83">
        <f>'⚙️ Master Threshold'!E57</f>
        <v>70</v>
      </c>
      <c r="E52" s="98">
        <v>0.0</v>
      </c>
      <c r="F52" s="99">
        <v>90.0</v>
      </c>
      <c r="G52" s="86">
        <v>90.0</v>
      </c>
      <c r="H52" s="50">
        <v>0.0</v>
      </c>
      <c r="I52" s="50">
        <v>90.0</v>
      </c>
      <c r="J52" s="51">
        <f t="shared" si="12"/>
        <v>90</v>
      </c>
      <c r="K52" s="78">
        <f t="shared" si="9"/>
        <v>0</v>
      </c>
      <c r="L52" s="88" t="str">
        <f t="shared" si="10"/>
        <v>🟠 HAMPIR HABIS</v>
      </c>
      <c r="M52" s="88"/>
    </row>
    <row r="53" ht="18.0" customHeight="1">
      <c r="A53" s="88">
        <v>21.0</v>
      </c>
      <c r="B53" s="89" t="s">
        <v>87</v>
      </c>
      <c r="C53" s="88" t="s">
        <v>92</v>
      </c>
      <c r="D53" s="83">
        <f>'⚙️ Master Threshold'!E59</f>
        <v>290</v>
      </c>
      <c r="E53" s="84">
        <v>0.0</v>
      </c>
      <c r="F53" s="85">
        <v>523.0</v>
      </c>
      <c r="G53" s="86">
        <v>473.0</v>
      </c>
      <c r="H53" s="50">
        <v>0.0</v>
      </c>
      <c r="I53" s="50">
        <v>523.0</v>
      </c>
      <c r="J53" s="51">
        <f>H53+I53-50</f>
        <v>473</v>
      </c>
      <c r="K53" s="90">
        <f t="shared" si="9"/>
        <v>0</v>
      </c>
      <c r="L53" s="88" t="str">
        <f t="shared" si="10"/>
        <v>🟠 HAMPIR HABIS</v>
      </c>
      <c r="M53" s="88"/>
    </row>
    <row r="54" ht="18.0" customHeight="1">
      <c r="A54" s="81">
        <v>22.0</v>
      </c>
      <c r="B54" s="82" t="s">
        <v>88</v>
      </c>
      <c r="C54" s="81" t="s">
        <v>182</v>
      </c>
      <c r="D54" s="83">
        <f>'⚙️ Master Threshold'!E60</f>
        <v>8</v>
      </c>
      <c r="E54" s="84">
        <v>0.0</v>
      </c>
      <c r="F54" s="85">
        <v>15.0</v>
      </c>
      <c r="G54" s="86">
        <v>15.0</v>
      </c>
      <c r="H54" s="50">
        <v>0.0</v>
      </c>
      <c r="I54" s="50">
        <v>15.0</v>
      </c>
      <c r="J54" s="51">
        <f>H54+I54</f>
        <v>15</v>
      </c>
      <c r="K54" s="87">
        <f t="shared" si="9"/>
        <v>0</v>
      </c>
      <c r="L54" s="81" t="str">
        <f t="shared" si="10"/>
        <v>🟠 HAMPIR HABIS</v>
      </c>
      <c r="M54" s="81"/>
    </row>
    <row r="55" ht="18.0" customHeight="1">
      <c r="A55" s="81">
        <v>26.0</v>
      </c>
      <c r="B55" s="82" t="s">
        <v>93</v>
      </c>
      <c r="C55" s="81" t="s">
        <v>92</v>
      </c>
      <c r="D55" s="83">
        <f>'⚙️ Master Threshold'!E64</f>
        <v>100</v>
      </c>
      <c r="E55" s="84">
        <v>0.0</v>
      </c>
      <c r="F55" s="85">
        <v>189.0</v>
      </c>
      <c r="G55" s="86">
        <v>147.0</v>
      </c>
      <c r="H55" s="50">
        <v>0.0</v>
      </c>
      <c r="I55" s="50">
        <v>189.0</v>
      </c>
      <c r="J55" s="51">
        <f>H55+I55-42</f>
        <v>147</v>
      </c>
      <c r="K55" s="87">
        <f t="shared" si="9"/>
        <v>0</v>
      </c>
      <c r="L55" s="81" t="str">
        <f t="shared" si="10"/>
        <v>🟠 HAMPIR HABIS</v>
      </c>
      <c r="M55" s="81"/>
    </row>
    <row r="56" ht="18.0" customHeight="1">
      <c r="A56" s="81">
        <v>2.0</v>
      </c>
      <c r="B56" s="82" t="s">
        <v>68</v>
      </c>
      <c r="C56" s="81" t="s">
        <v>181</v>
      </c>
      <c r="D56" s="83">
        <f>'⚙️ Master Threshold'!E40</f>
        <v>100</v>
      </c>
      <c r="E56" s="84">
        <v>0.0</v>
      </c>
      <c r="F56" s="85">
        <v>1000.0</v>
      </c>
      <c r="G56" s="86">
        <v>1000.0</v>
      </c>
      <c r="H56" s="50">
        <v>0.0</v>
      </c>
      <c r="I56" s="50">
        <v>1000.0</v>
      </c>
      <c r="J56" s="51">
        <f>H56+I56</f>
        <v>1000</v>
      </c>
      <c r="K56" s="87">
        <f t="shared" si="9"/>
        <v>0</v>
      </c>
      <c r="L56" s="81" t="str">
        <f t="shared" si="10"/>
        <v>🟢 AMAN</v>
      </c>
      <c r="M56" s="81"/>
    </row>
    <row r="57" ht="18.0" customHeight="1">
      <c r="A57" s="88">
        <v>5.0</v>
      </c>
      <c r="B57" s="89" t="s">
        <v>71</v>
      </c>
      <c r="C57" s="88" t="s">
        <v>92</v>
      </c>
      <c r="D57" s="83">
        <f>'⚙️ Master Threshold'!E43</f>
        <v>90</v>
      </c>
      <c r="E57" s="84">
        <v>350.0</v>
      </c>
      <c r="F57" s="85">
        <v>59.0</v>
      </c>
      <c r="G57" s="86">
        <v>367.0</v>
      </c>
      <c r="H57" s="50">
        <v>350.0</v>
      </c>
      <c r="I57" s="50">
        <v>59.0</v>
      </c>
      <c r="J57" s="51">
        <f>H57+I57-42</f>
        <v>367</v>
      </c>
      <c r="K57" s="90">
        <f t="shared" si="9"/>
        <v>0</v>
      </c>
      <c r="L57" s="88" t="str">
        <f t="shared" si="10"/>
        <v>🟢 AMAN</v>
      </c>
      <c r="M57" s="88"/>
    </row>
    <row r="58" ht="18.0" customHeight="1">
      <c r="A58" s="81">
        <v>6.0</v>
      </c>
      <c r="B58" s="82" t="s">
        <v>72</v>
      </c>
      <c r="C58" s="81" t="s">
        <v>92</v>
      </c>
      <c r="D58" s="83">
        <f>'⚙️ Master Threshold'!E44</f>
        <v>40</v>
      </c>
      <c r="E58" s="84">
        <v>1081.0</v>
      </c>
      <c r="F58" s="85">
        <v>249.0</v>
      </c>
      <c r="G58" s="86">
        <v>1330.0</v>
      </c>
      <c r="H58" s="50">
        <v>1081.0</v>
      </c>
      <c r="I58" s="50">
        <v>249.0</v>
      </c>
      <c r="J58" s="51">
        <f t="shared" ref="J58:J59" si="13">H58+I58</f>
        <v>1330</v>
      </c>
      <c r="K58" s="87">
        <f t="shared" si="9"/>
        <v>0</v>
      </c>
      <c r="L58" s="81" t="str">
        <f t="shared" si="10"/>
        <v>🟢 AMAN</v>
      </c>
      <c r="M58" s="81"/>
    </row>
    <row r="59" ht="18.0" customHeight="1">
      <c r="A59" s="81">
        <v>8.0</v>
      </c>
      <c r="B59" s="82" t="s">
        <v>74</v>
      </c>
      <c r="C59" s="81" t="s">
        <v>181</v>
      </c>
      <c r="D59" s="83">
        <f>'⚙️ Master Threshold'!E46</f>
        <v>90</v>
      </c>
      <c r="E59" s="84">
        <v>0.0</v>
      </c>
      <c r="F59" s="85">
        <v>342.0</v>
      </c>
      <c r="G59" s="86">
        <v>342.0</v>
      </c>
      <c r="H59" s="50">
        <v>0.0</v>
      </c>
      <c r="I59" s="50">
        <v>342.0</v>
      </c>
      <c r="J59" s="51">
        <f t="shared" si="13"/>
        <v>342</v>
      </c>
      <c r="K59" s="87">
        <f t="shared" si="9"/>
        <v>0</v>
      </c>
      <c r="L59" s="81" t="str">
        <f t="shared" si="10"/>
        <v>🟢 AMAN</v>
      </c>
      <c r="M59" s="81"/>
    </row>
    <row r="60" ht="18.0" customHeight="1">
      <c r="A60" s="88">
        <v>33.0</v>
      </c>
      <c r="B60" s="89" t="s">
        <v>183</v>
      </c>
      <c r="C60" s="88" t="s">
        <v>92</v>
      </c>
      <c r="D60" s="83">
        <f>'⚙️ Master Threshold'!E38</f>
        <v>100</v>
      </c>
      <c r="E60" s="84">
        <v>189.0</v>
      </c>
      <c r="F60" s="85">
        <v>131.0</v>
      </c>
      <c r="G60" s="86">
        <v>278.0</v>
      </c>
      <c r="H60" s="50">
        <v>189.0</v>
      </c>
      <c r="I60" s="50">
        <v>131.0</v>
      </c>
      <c r="J60" s="51">
        <f>H60+I60-42</f>
        <v>278</v>
      </c>
      <c r="K60" s="90">
        <f t="shared" si="9"/>
        <v>0</v>
      </c>
      <c r="L60" s="88" t="str">
        <f t="shared" si="10"/>
        <v>🟢 AMAN</v>
      </c>
      <c r="M60" s="88"/>
    </row>
    <row r="61" ht="18.0" customHeight="1">
      <c r="A61" s="88">
        <v>3.0</v>
      </c>
      <c r="B61" s="89" t="s">
        <v>69</v>
      </c>
      <c r="C61" s="88" t="s">
        <v>92</v>
      </c>
      <c r="D61" s="83">
        <f>'⚙️ Master Threshold'!E41</f>
        <v>200</v>
      </c>
      <c r="E61" s="84">
        <v>617.0</v>
      </c>
      <c r="F61" s="85">
        <v>166.0</v>
      </c>
      <c r="G61" s="86">
        <v>783.0</v>
      </c>
      <c r="H61" s="50">
        <v>617.0</v>
      </c>
      <c r="I61" s="50">
        <v>166.0</v>
      </c>
      <c r="J61" s="51">
        <f t="shared" ref="J61:J64" si="14">H61+I61</f>
        <v>783</v>
      </c>
      <c r="K61" s="90">
        <f t="shared" si="9"/>
        <v>0</v>
      </c>
      <c r="L61" s="88" t="str">
        <f t="shared" si="10"/>
        <v>🟢 AMAN</v>
      </c>
      <c r="M61" s="88"/>
    </row>
    <row r="62" ht="18.0" customHeight="1">
      <c r="A62" s="88">
        <v>9.0</v>
      </c>
      <c r="B62" s="89" t="s">
        <v>75</v>
      </c>
      <c r="C62" s="88" t="s">
        <v>92</v>
      </c>
      <c r="D62" s="83">
        <f>'⚙️ Master Threshold'!E47</f>
        <v>25</v>
      </c>
      <c r="E62" s="84">
        <v>0.0</v>
      </c>
      <c r="F62" s="85">
        <v>89.0</v>
      </c>
      <c r="G62" s="86">
        <v>89.0</v>
      </c>
      <c r="H62" s="50">
        <v>0.0</v>
      </c>
      <c r="I62" s="50">
        <v>89.0</v>
      </c>
      <c r="J62" s="51">
        <f t="shared" si="14"/>
        <v>89</v>
      </c>
      <c r="K62" s="90">
        <f t="shared" si="9"/>
        <v>0</v>
      </c>
      <c r="L62" s="88" t="str">
        <f t="shared" si="10"/>
        <v>🟢 AMAN</v>
      </c>
      <c r="M62" s="88"/>
    </row>
    <row r="63" ht="15.75" customHeight="1">
      <c r="A63" s="81">
        <v>10.0</v>
      </c>
      <c r="B63" s="82" t="s">
        <v>76</v>
      </c>
      <c r="C63" s="81" t="s">
        <v>92</v>
      </c>
      <c r="D63" s="83">
        <f>'⚙️ Master Threshold'!E48</f>
        <v>25</v>
      </c>
      <c r="E63" s="84">
        <v>237.0</v>
      </c>
      <c r="F63" s="85">
        <v>48.0</v>
      </c>
      <c r="G63" s="86">
        <v>285.0</v>
      </c>
      <c r="H63" s="50">
        <v>237.0</v>
      </c>
      <c r="I63" s="50">
        <v>48.0</v>
      </c>
      <c r="J63" s="51">
        <f t="shared" si="14"/>
        <v>285</v>
      </c>
      <c r="K63" s="87">
        <f t="shared" si="9"/>
        <v>0</v>
      </c>
      <c r="L63" s="81" t="str">
        <f t="shared" si="10"/>
        <v>🟢 AMAN</v>
      </c>
      <c r="M63" s="81"/>
    </row>
    <row r="64" ht="18.0" customHeight="1">
      <c r="A64" s="88">
        <v>23.0</v>
      </c>
      <c r="B64" s="89" t="s">
        <v>89</v>
      </c>
      <c r="C64" s="88" t="s">
        <v>92</v>
      </c>
      <c r="D64" s="83">
        <f>'⚙️ Master Threshold'!E61</f>
        <v>40</v>
      </c>
      <c r="E64" s="84">
        <v>0.0</v>
      </c>
      <c r="F64" s="85">
        <v>93.0</v>
      </c>
      <c r="G64" s="86">
        <v>93.0</v>
      </c>
      <c r="H64" s="50">
        <v>0.0</v>
      </c>
      <c r="I64" s="50">
        <v>93.0</v>
      </c>
      <c r="J64" s="51">
        <f t="shared" si="14"/>
        <v>93</v>
      </c>
      <c r="K64" s="90">
        <f t="shared" si="9"/>
        <v>0</v>
      </c>
      <c r="L64" s="88" t="str">
        <f t="shared" si="10"/>
        <v>🟢 AMAN</v>
      </c>
      <c r="M64" s="88"/>
    </row>
    <row r="65" ht="18.0" customHeight="1">
      <c r="A65" s="81">
        <v>14.0</v>
      </c>
      <c r="B65" s="82" t="s">
        <v>80</v>
      </c>
      <c r="C65" s="81" t="s">
        <v>92</v>
      </c>
      <c r="D65" s="83">
        <f>'⚙️ Master Threshold'!E52</f>
        <v>270</v>
      </c>
      <c r="E65" s="84">
        <v>468.0</v>
      </c>
      <c r="F65" s="85">
        <v>491.0</v>
      </c>
      <c r="G65" s="86">
        <v>914.0</v>
      </c>
      <c r="H65" s="50">
        <v>468.0</v>
      </c>
      <c r="I65" s="50">
        <v>491.0</v>
      </c>
      <c r="J65" s="51">
        <f t="shared" ref="J65:J66" si="15">H65+I65-45</f>
        <v>914</v>
      </c>
      <c r="K65" s="87">
        <f t="shared" si="9"/>
        <v>0</v>
      </c>
      <c r="L65" s="81" t="str">
        <f t="shared" si="10"/>
        <v>🟢 AMAN</v>
      </c>
      <c r="M65" s="81"/>
    </row>
    <row r="66" ht="18.0" customHeight="1">
      <c r="A66" s="88">
        <v>15.0</v>
      </c>
      <c r="B66" s="89" t="s">
        <v>81</v>
      </c>
      <c r="C66" s="88" t="s">
        <v>92</v>
      </c>
      <c r="D66" s="83">
        <f>'⚙️ Master Threshold'!E53</f>
        <v>250</v>
      </c>
      <c r="E66" s="84">
        <v>1000.0</v>
      </c>
      <c r="F66" s="85">
        <v>180.0</v>
      </c>
      <c r="G66" s="86">
        <v>1135.0</v>
      </c>
      <c r="H66" s="50">
        <v>1000.0</v>
      </c>
      <c r="I66" s="50">
        <v>180.0</v>
      </c>
      <c r="J66" s="51">
        <f t="shared" si="15"/>
        <v>1135</v>
      </c>
      <c r="K66" s="90">
        <f t="shared" si="9"/>
        <v>0</v>
      </c>
      <c r="L66" s="88" t="str">
        <f t="shared" si="10"/>
        <v>🟢 AMAN</v>
      </c>
      <c r="M66" s="88"/>
    </row>
    <row r="67" ht="18.0" customHeight="1">
      <c r="A67" s="81">
        <v>16.0</v>
      </c>
      <c r="B67" s="82" t="s">
        <v>82</v>
      </c>
      <c r="C67" s="81" t="s">
        <v>181</v>
      </c>
      <c r="D67" s="83">
        <f>'⚙️ Master Threshold'!E54</f>
        <v>48</v>
      </c>
      <c r="E67" s="84">
        <v>0.0</v>
      </c>
      <c r="F67" s="85">
        <v>989.0</v>
      </c>
      <c r="G67" s="86">
        <v>989.0</v>
      </c>
      <c r="H67" s="50">
        <v>0.0</v>
      </c>
      <c r="I67" s="50">
        <v>989.0</v>
      </c>
      <c r="J67" s="51">
        <f t="shared" ref="J67:J69" si="16">H67+I67</f>
        <v>989</v>
      </c>
      <c r="K67" s="87">
        <f t="shared" si="9"/>
        <v>0</v>
      </c>
      <c r="L67" s="81" t="str">
        <f t="shared" si="10"/>
        <v>🟢 AMAN</v>
      </c>
      <c r="M67" s="81"/>
    </row>
    <row r="68" ht="18.0" customHeight="1">
      <c r="A68" s="88">
        <v>17.0</v>
      </c>
      <c r="B68" s="89" t="s">
        <v>83</v>
      </c>
      <c r="C68" s="88" t="s">
        <v>182</v>
      </c>
      <c r="D68" s="83">
        <f>'⚙️ Master Threshold'!E55</f>
        <v>4</v>
      </c>
      <c r="E68" s="84">
        <v>8.0</v>
      </c>
      <c r="F68" s="85">
        <v>1.0</v>
      </c>
      <c r="G68" s="86">
        <v>9.0</v>
      </c>
      <c r="H68" s="50">
        <v>8.0</v>
      </c>
      <c r="I68" s="50">
        <v>1.0</v>
      </c>
      <c r="J68" s="51">
        <f t="shared" si="16"/>
        <v>9</v>
      </c>
      <c r="K68" s="90">
        <f t="shared" si="9"/>
        <v>0</v>
      </c>
      <c r="L68" s="88" t="str">
        <f t="shared" si="10"/>
        <v>🟢 AMAN</v>
      </c>
      <c r="M68" s="88"/>
    </row>
    <row r="69" ht="18.0" customHeight="1">
      <c r="A69" s="81">
        <v>20.0</v>
      </c>
      <c r="B69" s="82" t="s">
        <v>86</v>
      </c>
      <c r="C69" s="81" t="s">
        <v>92</v>
      </c>
      <c r="D69" s="83">
        <f>'⚙️ Master Threshold'!E58</f>
        <v>70</v>
      </c>
      <c r="E69" s="84">
        <v>0.0</v>
      </c>
      <c r="F69" s="85">
        <v>638.0</v>
      </c>
      <c r="G69" s="86">
        <v>638.0</v>
      </c>
      <c r="H69" s="50">
        <v>0.0</v>
      </c>
      <c r="I69" s="50">
        <v>638.0</v>
      </c>
      <c r="J69" s="51">
        <f t="shared" si="16"/>
        <v>638</v>
      </c>
      <c r="K69" s="87">
        <f t="shared" si="9"/>
        <v>0</v>
      </c>
      <c r="L69" s="81" t="str">
        <f t="shared" si="10"/>
        <v>🟢 AMAN</v>
      </c>
      <c r="M69" s="81"/>
    </row>
    <row r="70" ht="15.75" customHeight="1">
      <c r="A70" s="100"/>
      <c r="B70" s="101"/>
      <c r="C70" s="100"/>
      <c r="D70" s="102"/>
      <c r="E70" s="100"/>
      <c r="F70" s="100"/>
      <c r="G70" s="100"/>
      <c r="H70" s="100"/>
      <c r="I70" s="100"/>
      <c r="J70" s="100"/>
      <c r="K70" s="100"/>
      <c r="L70" s="100"/>
      <c r="M70" s="100"/>
    </row>
    <row r="71" ht="15.75" customHeight="1">
      <c r="A71" s="100"/>
      <c r="B71" s="101"/>
      <c r="C71" s="100"/>
      <c r="D71" s="102"/>
      <c r="E71" s="100"/>
      <c r="F71" s="100"/>
      <c r="G71" s="100"/>
      <c r="H71" s="100"/>
      <c r="I71" s="100"/>
      <c r="J71" s="100"/>
      <c r="K71" s="100"/>
      <c r="L71" s="100"/>
      <c r="M71" s="100"/>
    </row>
    <row r="72" ht="18.0" customHeight="1">
      <c r="B72" s="70" t="s">
        <v>184</v>
      </c>
      <c r="C72" s="70"/>
      <c r="D72" s="71"/>
      <c r="E72" s="72"/>
      <c r="F72" s="72"/>
      <c r="G72" s="72"/>
      <c r="H72" s="72"/>
      <c r="I72" s="72"/>
      <c r="J72" s="72"/>
      <c r="K72" s="72" t="str">
        <f>IF(COUNTA(G72,J72)=0,"",IF(J72-G72=0,0,IF(J72-G72&gt;0,"+"&amp;(J72-G72),J72-G72)))</f>
        <v/>
      </c>
      <c r="L72" s="72"/>
      <c r="M72" s="72"/>
    </row>
    <row r="73" ht="28.5" customHeight="1">
      <c r="A73" s="38" t="s">
        <v>2</v>
      </c>
      <c r="B73" s="38" t="s">
        <v>3</v>
      </c>
      <c r="C73" s="38" t="s">
        <v>44</v>
      </c>
      <c r="D73" s="39" t="s">
        <v>45</v>
      </c>
      <c r="E73" s="40" t="s">
        <v>47</v>
      </c>
      <c r="F73" s="40" t="s">
        <v>48</v>
      </c>
      <c r="G73" s="40" t="s">
        <v>50</v>
      </c>
      <c r="H73" s="41" t="s">
        <v>51</v>
      </c>
      <c r="I73" s="41" t="s">
        <v>53</v>
      </c>
      <c r="J73" s="41" t="s">
        <v>55</v>
      </c>
      <c r="K73" s="42" t="s">
        <v>56</v>
      </c>
      <c r="L73" s="43" t="s">
        <v>58</v>
      </c>
      <c r="M73" s="42" t="s">
        <v>60</v>
      </c>
    </row>
    <row r="74" ht="19.5" customHeight="1">
      <c r="A74" s="76">
        <v>1.0</v>
      </c>
      <c r="B74" s="77" t="s">
        <v>128</v>
      </c>
      <c r="C74" s="78" t="s">
        <v>182</v>
      </c>
      <c r="D74" s="103">
        <f>'⚙️ Master Threshold'!E97</f>
        <v>10</v>
      </c>
      <c r="E74" s="80">
        <v>0.0</v>
      </c>
      <c r="F74" s="80">
        <v>0.0</v>
      </c>
      <c r="G74" s="80">
        <v>0.0</v>
      </c>
      <c r="H74" s="50">
        <v>0.0</v>
      </c>
      <c r="I74" s="50">
        <v>0.0</v>
      </c>
      <c r="J74" s="51">
        <f t="shared" ref="J74:J118" si="17">H74+I74</f>
        <v>0</v>
      </c>
      <c r="K74" s="78">
        <f t="shared" ref="K74:K118" si="18">IF(COUNTA(G74,J74)=0,"",IF(J74-G74=0,0,IF(J74-G74&gt;0,"+"&amp;(J74-G74),J74-G74)))</f>
        <v>0</v>
      </c>
      <c r="L74" s="78" t="str">
        <f t="shared" ref="L74:L117" si="19">IF(D74=0,"—",IF(J74&lt;=D74,"🔴 KRITIS",IF(J74&lt;=D74*2,"🟠 HAMPIR HABIS","🟢 AMAN")))</f>
        <v>🔴 KRITIS</v>
      </c>
      <c r="M74" s="78"/>
    </row>
    <row r="75" ht="18.0" customHeight="1">
      <c r="A75" s="88">
        <v>3.0</v>
      </c>
      <c r="B75" s="89" t="s">
        <v>132</v>
      </c>
      <c r="C75" s="88" t="s">
        <v>116</v>
      </c>
      <c r="D75" s="83">
        <f>'⚙️ Master Threshold'!E99</f>
        <v>1</v>
      </c>
      <c r="E75" s="84">
        <v>0.0</v>
      </c>
      <c r="F75" s="85">
        <v>1.0</v>
      </c>
      <c r="G75" s="86">
        <v>1.0</v>
      </c>
      <c r="H75" s="50">
        <v>0.0</v>
      </c>
      <c r="I75" s="50">
        <v>1.0</v>
      </c>
      <c r="J75" s="51">
        <f t="shared" si="17"/>
        <v>1</v>
      </c>
      <c r="K75" s="90">
        <f t="shared" si="18"/>
        <v>0</v>
      </c>
      <c r="L75" s="88" t="str">
        <f t="shared" si="19"/>
        <v>🔴 KRITIS</v>
      </c>
      <c r="M75" s="88"/>
    </row>
    <row r="76" ht="18.0" customHeight="1">
      <c r="A76" s="81">
        <v>4.0</v>
      </c>
      <c r="B76" s="82" t="s">
        <v>133</v>
      </c>
      <c r="C76" s="81" t="s">
        <v>116</v>
      </c>
      <c r="D76" s="83">
        <f>'⚙️ Master Threshold'!E100</f>
        <v>1</v>
      </c>
      <c r="E76" s="84">
        <v>0.0</v>
      </c>
      <c r="F76" s="85">
        <v>1.0</v>
      </c>
      <c r="G76" s="86">
        <v>1.0</v>
      </c>
      <c r="H76" s="50">
        <v>0.0</v>
      </c>
      <c r="I76" s="50">
        <v>1.0</v>
      </c>
      <c r="J76" s="51">
        <f t="shared" si="17"/>
        <v>1</v>
      </c>
      <c r="K76" s="87">
        <f t="shared" si="18"/>
        <v>0</v>
      </c>
      <c r="L76" s="81" t="str">
        <f t="shared" si="19"/>
        <v>🔴 KRITIS</v>
      </c>
      <c r="M76" s="81"/>
    </row>
    <row r="77" ht="18.0" customHeight="1">
      <c r="A77" s="88">
        <f t="shared" ref="A77:A105" si="20">A76+1</f>
        <v>5</v>
      </c>
      <c r="B77" s="89" t="s">
        <v>135</v>
      </c>
      <c r="C77" s="88" t="s">
        <v>185</v>
      </c>
      <c r="D77" s="83">
        <f>'⚙️ Master Threshold'!E102</f>
        <v>50</v>
      </c>
      <c r="E77" s="84">
        <v>1.0</v>
      </c>
      <c r="F77" s="85">
        <v>6.0</v>
      </c>
      <c r="G77" s="104">
        <v>46029.0</v>
      </c>
      <c r="H77" s="50">
        <v>1.0</v>
      </c>
      <c r="I77" s="50">
        <v>6.0</v>
      </c>
      <c r="J77" s="105">
        <f t="shared" si="17"/>
        <v>7</v>
      </c>
      <c r="K77" s="90">
        <f t="shared" si="18"/>
        <v>-46022</v>
      </c>
      <c r="L77" s="88" t="str">
        <f t="shared" si="19"/>
        <v>🔴 KRITIS</v>
      </c>
      <c r="M77" s="88"/>
    </row>
    <row r="78" ht="18.0" customHeight="1">
      <c r="A78" s="88">
        <f t="shared" si="20"/>
        <v>6</v>
      </c>
      <c r="B78" s="82" t="s">
        <v>138</v>
      </c>
      <c r="C78" s="81" t="s">
        <v>182</v>
      </c>
      <c r="D78" s="83">
        <f>'⚙️ Master Threshold'!E105</f>
        <v>50</v>
      </c>
      <c r="E78" s="84">
        <v>0.0</v>
      </c>
      <c r="F78" s="85">
        <v>30.0</v>
      </c>
      <c r="G78" s="86">
        <v>30.0</v>
      </c>
      <c r="H78" s="50">
        <v>0.0</v>
      </c>
      <c r="I78" s="50">
        <v>30.0</v>
      </c>
      <c r="J78" s="51">
        <f t="shared" si="17"/>
        <v>30</v>
      </c>
      <c r="K78" s="87">
        <f t="shared" si="18"/>
        <v>0</v>
      </c>
      <c r="L78" s="81" t="str">
        <f t="shared" si="19"/>
        <v>🔴 KRITIS</v>
      </c>
      <c r="M78" s="81"/>
    </row>
    <row r="79" ht="18.0" customHeight="1">
      <c r="A79" s="88">
        <f t="shared" si="20"/>
        <v>7</v>
      </c>
      <c r="B79" s="89" t="s">
        <v>140</v>
      </c>
      <c r="C79" s="88" t="s">
        <v>116</v>
      </c>
      <c r="D79" s="83">
        <f>'⚙️ Master Threshold'!E108</f>
        <v>2</v>
      </c>
      <c r="E79" s="84">
        <v>0.0</v>
      </c>
      <c r="F79" s="85">
        <v>1.0</v>
      </c>
      <c r="G79" s="86">
        <v>1.0</v>
      </c>
      <c r="H79" s="50">
        <v>0.0</v>
      </c>
      <c r="I79" s="50">
        <v>1.0</v>
      </c>
      <c r="J79" s="51">
        <f t="shared" si="17"/>
        <v>1</v>
      </c>
      <c r="K79" s="90">
        <f t="shared" si="18"/>
        <v>0</v>
      </c>
      <c r="L79" s="88" t="str">
        <f t="shared" si="19"/>
        <v>🔴 KRITIS</v>
      </c>
      <c r="M79" s="88"/>
    </row>
    <row r="80" ht="18.0" customHeight="1">
      <c r="A80" s="88">
        <f t="shared" si="20"/>
        <v>8</v>
      </c>
      <c r="B80" s="82" t="s">
        <v>141</v>
      </c>
      <c r="C80" s="81" t="s">
        <v>186</v>
      </c>
      <c r="D80" s="83">
        <f>'⚙️ Master Threshold'!E109</f>
        <v>1</v>
      </c>
      <c r="E80" s="84">
        <v>0.0</v>
      </c>
      <c r="F80" s="85">
        <v>1.0</v>
      </c>
      <c r="G80" s="86">
        <v>1.0</v>
      </c>
      <c r="H80" s="50">
        <v>0.0</v>
      </c>
      <c r="I80" s="50">
        <v>1.0</v>
      </c>
      <c r="J80" s="51">
        <f t="shared" si="17"/>
        <v>1</v>
      </c>
      <c r="K80" s="87">
        <f t="shared" si="18"/>
        <v>0</v>
      </c>
      <c r="L80" s="81" t="str">
        <f t="shared" si="19"/>
        <v>🔴 KRITIS</v>
      </c>
      <c r="M80" s="81"/>
    </row>
    <row r="81" ht="18.0" customHeight="1">
      <c r="A81" s="88">
        <f t="shared" si="20"/>
        <v>9</v>
      </c>
      <c r="B81" s="82" t="s">
        <v>143</v>
      </c>
      <c r="C81" s="81" t="s">
        <v>116</v>
      </c>
      <c r="D81" s="83">
        <f>'⚙️ Master Threshold'!E111</f>
        <v>1</v>
      </c>
      <c r="E81" s="84">
        <v>0.0</v>
      </c>
      <c r="F81" s="85">
        <v>1.0</v>
      </c>
      <c r="G81" s="86">
        <v>1.0</v>
      </c>
      <c r="H81" s="50">
        <v>0.0</v>
      </c>
      <c r="I81" s="50">
        <v>1.0</v>
      </c>
      <c r="J81" s="51">
        <f t="shared" si="17"/>
        <v>1</v>
      </c>
      <c r="K81" s="87">
        <f t="shared" si="18"/>
        <v>0</v>
      </c>
      <c r="L81" s="81" t="str">
        <f t="shared" si="19"/>
        <v>🔴 KRITIS</v>
      </c>
      <c r="M81" s="81"/>
    </row>
    <row r="82" ht="18.0" customHeight="1">
      <c r="A82" s="88">
        <f t="shared" si="20"/>
        <v>10</v>
      </c>
      <c r="B82" s="89" t="s">
        <v>144</v>
      </c>
      <c r="C82" s="88" t="s">
        <v>187</v>
      </c>
      <c r="D82" s="83">
        <f>'⚙️ Master Threshold'!E112</f>
        <v>20</v>
      </c>
      <c r="E82" s="84">
        <v>0.0</v>
      </c>
      <c r="F82" s="85">
        <v>0.0</v>
      </c>
      <c r="G82" s="86">
        <v>0.0</v>
      </c>
      <c r="H82" s="50">
        <v>0.0</v>
      </c>
      <c r="I82" s="50">
        <v>0.0</v>
      </c>
      <c r="J82" s="51">
        <f t="shared" si="17"/>
        <v>0</v>
      </c>
      <c r="K82" s="90">
        <f t="shared" si="18"/>
        <v>0</v>
      </c>
      <c r="L82" s="88" t="str">
        <f t="shared" si="19"/>
        <v>🔴 KRITIS</v>
      </c>
      <c r="M82" s="88"/>
    </row>
    <row r="83" ht="18.0" customHeight="1">
      <c r="A83" s="88">
        <f t="shared" si="20"/>
        <v>11</v>
      </c>
      <c r="B83" s="89" t="s">
        <v>146</v>
      </c>
      <c r="C83" s="88" t="s">
        <v>116</v>
      </c>
      <c r="D83" s="83">
        <f>'⚙️ Master Threshold'!E114</f>
        <v>1</v>
      </c>
      <c r="E83" s="84">
        <v>0.0</v>
      </c>
      <c r="F83" s="85">
        <v>0.0</v>
      </c>
      <c r="G83" s="86">
        <v>0.0</v>
      </c>
      <c r="H83" s="50">
        <v>0.0</v>
      </c>
      <c r="I83" s="50">
        <v>0.0</v>
      </c>
      <c r="J83" s="51">
        <f t="shared" si="17"/>
        <v>0</v>
      </c>
      <c r="K83" s="90">
        <f t="shared" si="18"/>
        <v>0</v>
      </c>
      <c r="L83" s="88" t="str">
        <f t="shared" si="19"/>
        <v>🔴 KRITIS</v>
      </c>
      <c r="M83" s="88"/>
    </row>
    <row r="84" ht="18.0" customHeight="1">
      <c r="A84" s="88">
        <f t="shared" si="20"/>
        <v>12</v>
      </c>
      <c r="B84" s="82" t="s">
        <v>188</v>
      </c>
      <c r="C84" s="81" t="s">
        <v>63</v>
      </c>
      <c r="D84" s="83">
        <f>'⚙️ Master Threshold'!E115</f>
        <v>25</v>
      </c>
      <c r="E84" s="84">
        <v>0.0</v>
      </c>
      <c r="F84" s="85">
        <v>0.0</v>
      </c>
      <c r="G84" s="86">
        <v>0.0</v>
      </c>
      <c r="H84" s="50">
        <v>0.0</v>
      </c>
      <c r="I84" s="50">
        <v>0.0</v>
      </c>
      <c r="J84" s="51">
        <f t="shared" si="17"/>
        <v>0</v>
      </c>
      <c r="K84" s="87">
        <f t="shared" si="18"/>
        <v>0</v>
      </c>
      <c r="L84" s="81" t="str">
        <f t="shared" si="19"/>
        <v>🔴 KRITIS</v>
      </c>
      <c r="M84" s="81"/>
    </row>
    <row r="85" ht="18.0" customHeight="1">
      <c r="A85" s="88">
        <f t="shared" si="20"/>
        <v>13</v>
      </c>
      <c r="B85" s="89" t="s">
        <v>148</v>
      </c>
      <c r="C85" s="88" t="s">
        <v>63</v>
      </c>
      <c r="D85" s="83">
        <f>'⚙️ Master Threshold'!E116</f>
        <v>10</v>
      </c>
      <c r="E85" s="84">
        <v>0.0</v>
      </c>
      <c r="F85" s="85">
        <v>1.0</v>
      </c>
      <c r="G85" s="86">
        <v>1.0</v>
      </c>
      <c r="H85" s="50">
        <v>0.0</v>
      </c>
      <c r="I85" s="50">
        <v>1.0</v>
      </c>
      <c r="J85" s="51">
        <f t="shared" si="17"/>
        <v>1</v>
      </c>
      <c r="K85" s="90">
        <f t="shared" si="18"/>
        <v>0</v>
      </c>
      <c r="L85" s="88" t="str">
        <f t="shared" si="19"/>
        <v>🔴 KRITIS</v>
      </c>
      <c r="M85" s="88"/>
    </row>
    <row r="86" ht="22.5" customHeight="1">
      <c r="A86" s="88">
        <f t="shared" si="20"/>
        <v>14</v>
      </c>
      <c r="B86" s="89" t="s">
        <v>150</v>
      </c>
      <c r="C86" s="88" t="s">
        <v>116</v>
      </c>
      <c r="D86" s="83">
        <f>'⚙️ Master Threshold'!E118</f>
        <v>1</v>
      </c>
      <c r="E86" s="84">
        <v>0.0</v>
      </c>
      <c r="F86" s="85">
        <v>0.0</v>
      </c>
      <c r="G86" s="86">
        <v>0.0</v>
      </c>
      <c r="H86" s="50">
        <v>0.0</v>
      </c>
      <c r="I86" s="50">
        <v>0.0</v>
      </c>
      <c r="J86" s="51">
        <f t="shared" si="17"/>
        <v>0</v>
      </c>
      <c r="K86" s="90">
        <f t="shared" si="18"/>
        <v>0</v>
      </c>
      <c r="L86" s="88" t="str">
        <f t="shared" si="19"/>
        <v>🔴 KRITIS</v>
      </c>
      <c r="M86" s="88"/>
    </row>
    <row r="87" ht="18.0" customHeight="1">
      <c r="A87" s="88">
        <f t="shared" si="20"/>
        <v>15</v>
      </c>
      <c r="B87" s="82" t="s">
        <v>151</v>
      </c>
      <c r="C87" s="81" t="s">
        <v>116</v>
      </c>
      <c r="D87" s="83">
        <f>'⚙️ Master Threshold'!E119</f>
        <v>1</v>
      </c>
      <c r="E87" s="84">
        <v>0.0</v>
      </c>
      <c r="F87" s="85">
        <v>0.0</v>
      </c>
      <c r="G87" s="86">
        <v>0.0</v>
      </c>
      <c r="H87" s="50">
        <v>0.0</v>
      </c>
      <c r="I87" s="50">
        <v>0.0</v>
      </c>
      <c r="J87" s="51">
        <f t="shared" si="17"/>
        <v>0</v>
      </c>
      <c r="K87" s="87">
        <f t="shared" si="18"/>
        <v>0</v>
      </c>
      <c r="L87" s="81" t="str">
        <f t="shared" si="19"/>
        <v>🔴 KRITIS</v>
      </c>
      <c r="M87" s="81"/>
    </row>
    <row r="88" ht="18.0" customHeight="1">
      <c r="A88" s="88">
        <f t="shared" si="20"/>
        <v>16</v>
      </c>
      <c r="B88" s="89" t="s">
        <v>152</v>
      </c>
      <c r="C88" s="88" t="s">
        <v>116</v>
      </c>
      <c r="D88" s="83">
        <f>'⚙️ Master Threshold'!E120</f>
        <v>1</v>
      </c>
      <c r="E88" s="84">
        <v>0.0</v>
      </c>
      <c r="F88" s="85">
        <v>0.0</v>
      </c>
      <c r="G88" s="86">
        <v>0.0</v>
      </c>
      <c r="H88" s="50">
        <v>0.0</v>
      </c>
      <c r="I88" s="50">
        <v>0.0</v>
      </c>
      <c r="J88" s="51">
        <f t="shared" si="17"/>
        <v>0</v>
      </c>
      <c r="K88" s="90">
        <f t="shared" si="18"/>
        <v>0</v>
      </c>
      <c r="L88" s="88" t="str">
        <f t="shared" si="19"/>
        <v>🔴 KRITIS</v>
      </c>
      <c r="M88" s="88"/>
    </row>
    <row r="89" ht="15.75" customHeight="1">
      <c r="A89" s="88">
        <f t="shared" si="20"/>
        <v>17</v>
      </c>
      <c r="B89" s="82" t="s">
        <v>155</v>
      </c>
      <c r="C89" s="81" t="s">
        <v>116</v>
      </c>
      <c r="D89" s="83">
        <f>'⚙️ Master Threshold'!E123</f>
        <v>1</v>
      </c>
      <c r="E89" s="84">
        <v>0.0</v>
      </c>
      <c r="F89" s="85">
        <v>1.0</v>
      </c>
      <c r="G89" s="86">
        <v>1.0</v>
      </c>
      <c r="H89" s="50">
        <v>0.0</v>
      </c>
      <c r="I89" s="50">
        <v>1.0</v>
      </c>
      <c r="J89" s="51">
        <f t="shared" si="17"/>
        <v>1</v>
      </c>
      <c r="K89" s="87">
        <f t="shared" si="18"/>
        <v>0</v>
      </c>
      <c r="L89" s="81" t="str">
        <f t="shared" si="19"/>
        <v>🔴 KRITIS</v>
      </c>
      <c r="M89" s="81"/>
    </row>
    <row r="90" ht="18.0" customHeight="1">
      <c r="A90" s="88">
        <f t="shared" si="20"/>
        <v>18</v>
      </c>
      <c r="B90" s="82" t="s">
        <v>157</v>
      </c>
      <c r="C90" s="81" t="s">
        <v>185</v>
      </c>
      <c r="D90" s="83">
        <f>'⚙️ Master Threshold'!E125</f>
        <v>25</v>
      </c>
      <c r="E90" s="84">
        <v>0.0</v>
      </c>
      <c r="F90" s="85">
        <v>18.0</v>
      </c>
      <c r="G90" s="86">
        <v>18.0</v>
      </c>
      <c r="H90" s="50">
        <v>0.0</v>
      </c>
      <c r="I90" s="50">
        <v>18.0</v>
      </c>
      <c r="J90" s="51">
        <f t="shared" si="17"/>
        <v>18</v>
      </c>
      <c r="K90" s="87">
        <f t="shared" si="18"/>
        <v>0</v>
      </c>
      <c r="L90" s="81" t="str">
        <f t="shared" si="19"/>
        <v>🔴 KRITIS</v>
      </c>
      <c r="M90" s="81"/>
    </row>
    <row r="91" ht="18.0" customHeight="1">
      <c r="A91" s="88">
        <f t="shared" si="20"/>
        <v>19</v>
      </c>
      <c r="B91" s="89" t="s">
        <v>158</v>
      </c>
      <c r="C91" s="88" t="s">
        <v>189</v>
      </c>
      <c r="D91" s="83">
        <f>'⚙️ Master Threshold'!E126</f>
        <v>1</v>
      </c>
      <c r="E91" s="84">
        <v>0.0</v>
      </c>
      <c r="F91" s="85">
        <v>1.0</v>
      </c>
      <c r="G91" s="86">
        <v>1.0</v>
      </c>
      <c r="H91" s="50">
        <v>0.0</v>
      </c>
      <c r="I91" s="50">
        <v>1.0</v>
      </c>
      <c r="J91" s="51">
        <f t="shared" si="17"/>
        <v>1</v>
      </c>
      <c r="K91" s="90">
        <f t="shared" si="18"/>
        <v>0</v>
      </c>
      <c r="L91" s="88" t="str">
        <f t="shared" si="19"/>
        <v>🔴 KRITIS</v>
      </c>
      <c r="M91" s="88"/>
    </row>
    <row r="92" ht="18.0" customHeight="1">
      <c r="A92" s="88">
        <f t="shared" si="20"/>
        <v>20</v>
      </c>
      <c r="B92" s="89" t="s">
        <v>160</v>
      </c>
      <c r="C92" s="88" t="s">
        <v>63</v>
      </c>
      <c r="D92" s="83">
        <f>'⚙️ Master Threshold'!E128</f>
        <v>10</v>
      </c>
      <c r="E92" s="84">
        <v>0.0</v>
      </c>
      <c r="F92" s="85">
        <v>0.0</v>
      </c>
      <c r="G92" s="86">
        <v>0.0</v>
      </c>
      <c r="H92" s="50">
        <v>0.0</v>
      </c>
      <c r="I92" s="50">
        <v>0.0</v>
      </c>
      <c r="J92" s="51">
        <f t="shared" si="17"/>
        <v>0</v>
      </c>
      <c r="K92" s="90">
        <f t="shared" si="18"/>
        <v>0</v>
      </c>
      <c r="L92" s="88" t="str">
        <f t="shared" si="19"/>
        <v>🔴 KRITIS</v>
      </c>
      <c r="M92" s="88"/>
    </row>
    <row r="93" ht="18.0" customHeight="1">
      <c r="A93" s="88">
        <f t="shared" si="20"/>
        <v>21</v>
      </c>
      <c r="B93" s="89" t="s">
        <v>162</v>
      </c>
      <c r="C93" s="88" t="s">
        <v>63</v>
      </c>
      <c r="D93" s="83">
        <f>'⚙️ Master Threshold'!E130</f>
        <v>5</v>
      </c>
      <c r="E93" s="84">
        <v>0.0</v>
      </c>
      <c r="F93" s="85">
        <v>5.0</v>
      </c>
      <c r="G93" s="86">
        <v>5.0</v>
      </c>
      <c r="H93" s="50">
        <v>0.0</v>
      </c>
      <c r="I93" s="50">
        <v>5.0</v>
      </c>
      <c r="J93" s="51">
        <f t="shared" si="17"/>
        <v>5</v>
      </c>
      <c r="K93" s="90">
        <f t="shared" si="18"/>
        <v>0</v>
      </c>
      <c r="L93" s="88" t="str">
        <f t="shared" si="19"/>
        <v>🔴 KRITIS</v>
      </c>
      <c r="M93" s="88"/>
    </row>
    <row r="94" ht="18.0" customHeight="1">
      <c r="A94" s="88">
        <f t="shared" si="20"/>
        <v>22</v>
      </c>
      <c r="B94" s="82" t="s">
        <v>165</v>
      </c>
      <c r="C94" s="81" t="s">
        <v>116</v>
      </c>
      <c r="D94" s="83">
        <f>'⚙️ Master Threshold'!E133</f>
        <v>1</v>
      </c>
      <c r="E94" s="84">
        <v>0.0</v>
      </c>
      <c r="F94" s="85">
        <v>1.0</v>
      </c>
      <c r="G94" s="86">
        <v>1.0</v>
      </c>
      <c r="H94" s="50">
        <v>0.0</v>
      </c>
      <c r="I94" s="50">
        <v>1.0</v>
      </c>
      <c r="J94" s="51">
        <f t="shared" si="17"/>
        <v>1</v>
      </c>
      <c r="K94" s="87">
        <f t="shared" si="18"/>
        <v>0</v>
      </c>
      <c r="L94" s="81" t="str">
        <f t="shared" si="19"/>
        <v>🔴 KRITIS</v>
      </c>
      <c r="M94" s="81"/>
    </row>
    <row r="95" ht="18.0" customHeight="1">
      <c r="A95" s="88">
        <f t="shared" si="20"/>
        <v>23</v>
      </c>
      <c r="B95" s="89" t="s">
        <v>166</v>
      </c>
      <c r="C95" s="88" t="s">
        <v>116</v>
      </c>
      <c r="D95" s="83">
        <f>'⚙️ Master Threshold'!E134</f>
        <v>1</v>
      </c>
      <c r="E95" s="84">
        <v>0.0</v>
      </c>
      <c r="F95" s="85">
        <v>0.0</v>
      </c>
      <c r="G95" s="86">
        <v>0.0</v>
      </c>
      <c r="H95" s="50">
        <v>0.0</v>
      </c>
      <c r="I95" s="50">
        <v>0.0</v>
      </c>
      <c r="J95" s="51">
        <f t="shared" si="17"/>
        <v>0</v>
      </c>
      <c r="K95" s="90">
        <f t="shared" si="18"/>
        <v>0</v>
      </c>
      <c r="L95" s="88" t="str">
        <f t="shared" si="19"/>
        <v>🔴 KRITIS</v>
      </c>
      <c r="M95" s="88"/>
    </row>
    <row r="96" ht="18.0" customHeight="1">
      <c r="A96" s="88">
        <f t="shared" si="20"/>
        <v>24</v>
      </c>
      <c r="B96" s="82" t="s">
        <v>167</v>
      </c>
      <c r="C96" s="81" t="s">
        <v>187</v>
      </c>
      <c r="D96" s="83">
        <f>'⚙️ Master Threshold'!E135</f>
        <v>10</v>
      </c>
      <c r="E96" s="84">
        <v>0.0</v>
      </c>
      <c r="F96" s="85">
        <v>0.0</v>
      </c>
      <c r="G96" s="86">
        <v>0.0</v>
      </c>
      <c r="H96" s="50">
        <v>0.0</v>
      </c>
      <c r="I96" s="50">
        <v>0.0</v>
      </c>
      <c r="J96" s="51">
        <f t="shared" si="17"/>
        <v>0</v>
      </c>
      <c r="K96" s="87">
        <f t="shared" si="18"/>
        <v>0</v>
      </c>
      <c r="L96" s="81" t="str">
        <f t="shared" si="19"/>
        <v>🔴 KRITIS</v>
      </c>
      <c r="M96" s="81"/>
    </row>
    <row r="97" ht="18.0" customHeight="1">
      <c r="A97" s="88">
        <f t="shared" si="20"/>
        <v>25</v>
      </c>
      <c r="B97" s="89" t="s">
        <v>169</v>
      </c>
      <c r="C97" s="88" t="s">
        <v>63</v>
      </c>
      <c r="D97" s="83">
        <f>'⚙️ Master Threshold'!E136</f>
        <v>1</v>
      </c>
      <c r="E97" s="84">
        <v>0.0</v>
      </c>
      <c r="F97" s="85">
        <v>0.0</v>
      </c>
      <c r="G97" s="86">
        <v>0.0</v>
      </c>
      <c r="H97" s="50">
        <v>0.0</v>
      </c>
      <c r="I97" s="50">
        <v>0.0</v>
      </c>
      <c r="J97" s="51">
        <f t="shared" si="17"/>
        <v>0</v>
      </c>
      <c r="K97" s="90">
        <f t="shared" si="18"/>
        <v>0</v>
      </c>
      <c r="L97" s="88" t="str">
        <f t="shared" si="19"/>
        <v>🔴 KRITIS</v>
      </c>
      <c r="M97" s="88"/>
    </row>
    <row r="98" ht="18.0" customHeight="1">
      <c r="A98" s="88">
        <f t="shared" si="20"/>
        <v>26</v>
      </c>
      <c r="B98" s="82" t="s">
        <v>172</v>
      </c>
      <c r="C98" s="81" t="s">
        <v>63</v>
      </c>
      <c r="D98" s="83">
        <f>'⚙️ Master Threshold'!E139</f>
        <v>5</v>
      </c>
      <c r="E98" s="84">
        <v>0.0</v>
      </c>
      <c r="F98" s="85">
        <v>0.0</v>
      </c>
      <c r="G98" s="86">
        <v>0.0</v>
      </c>
      <c r="H98" s="50">
        <v>0.0</v>
      </c>
      <c r="I98" s="50">
        <v>0.0</v>
      </c>
      <c r="J98" s="51">
        <f t="shared" si="17"/>
        <v>0</v>
      </c>
      <c r="K98" s="87">
        <f t="shared" si="18"/>
        <v>0</v>
      </c>
      <c r="L98" s="81" t="str">
        <f t="shared" si="19"/>
        <v>🔴 KRITIS</v>
      </c>
      <c r="M98" s="81"/>
    </row>
    <row r="99" ht="18.0" customHeight="1">
      <c r="A99" s="88">
        <f t="shared" si="20"/>
        <v>27</v>
      </c>
      <c r="B99" s="89" t="s">
        <v>174</v>
      </c>
      <c r="C99" s="88" t="s">
        <v>63</v>
      </c>
      <c r="D99" s="83">
        <f>'⚙️ Master Threshold'!E140</f>
        <v>5</v>
      </c>
      <c r="E99" s="84">
        <v>0.0</v>
      </c>
      <c r="F99" s="85">
        <v>0.0</v>
      </c>
      <c r="G99" s="86">
        <v>0.0</v>
      </c>
      <c r="H99" s="50">
        <v>0.0</v>
      </c>
      <c r="I99" s="50">
        <v>0.0</v>
      </c>
      <c r="J99" s="51">
        <f t="shared" si="17"/>
        <v>0</v>
      </c>
      <c r="K99" s="90">
        <f t="shared" si="18"/>
        <v>0</v>
      </c>
      <c r="L99" s="88" t="str">
        <f t="shared" si="19"/>
        <v>🔴 KRITIS</v>
      </c>
      <c r="M99" s="88"/>
    </row>
    <row r="100" ht="18.0" customHeight="1">
      <c r="A100" s="88">
        <f t="shared" si="20"/>
        <v>28</v>
      </c>
      <c r="B100" s="82" t="s">
        <v>118</v>
      </c>
      <c r="C100" s="81" t="s">
        <v>182</v>
      </c>
      <c r="D100" s="83">
        <f>'⚙️ Master Threshold'!E107</f>
        <v>50</v>
      </c>
      <c r="E100" s="84">
        <v>50.0</v>
      </c>
      <c r="F100" s="85">
        <v>20.0</v>
      </c>
      <c r="G100" s="86">
        <v>70.0</v>
      </c>
      <c r="H100" s="50">
        <v>50.0</v>
      </c>
      <c r="I100" s="50">
        <v>20.0</v>
      </c>
      <c r="J100" s="51">
        <f t="shared" si="17"/>
        <v>70</v>
      </c>
      <c r="K100" s="87">
        <f t="shared" si="18"/>
        <v>0</v>
      </c>
      <c r="L100" s="81" t="str">
        <f t="shared" si="19"/>
        <v>🟠 HAMPIR HABIS</v>
      </c>
      <c r="M100" s="81"/>
    </row>
    <row r="101" ht="18.0" customHeight="1">
      <c r="A101" s="88">
        <f t="shared" si="20"/>
        <v>29</v>
      </c>
      <c r="B101" s="89" t="s">
        <v>142</v>
      </c>
      <c r="C101" s="88" t="s">
        <v>116</v>
      </c>
      <c r="D101" s="83">
        <f>'⚙️ Master Threshold'!E110</f>
        <v>1</v>
      </c>
      <c r="E101" s="84">
        <v>0.0</v>
      </c>
      <c r="F101" s="85">
        <v>2.0</v>
      </c>
      <c r="G101" s="86">
        <v>2.0</v>
      </c>
      <c r="H101" s="50">
        <v>0.0</v>
      </c>
      <c r="I101" s="50">
        <v>2.0</v>
      </c>
      <c r="J101" s="51">
        <f t="shared" si="17"/>
        <v>2</v>
      </c>
      <c r="K101" s="90">
        <f t="shared" si="18"/>
        <v>0</v>
      </c>
      <c r="L101" s="88" t="str">
        <f t="shared" si="19"/>
        <v>🟠 HAMPIR HABIS</v>
      </c>
      <c r="M101" s="88"/>
    </row>
    <row r="102" ht="18.0" customHeight="1">
      <c r="A102" s="88">
        <f t="shared" si="20"/>
        <v>30</v>
      </c>
      <c r="B102" s="82" t="s">
        <v>145</v>
      </c>
      <c r="C102" s="81" t="s">
        <v>190</v>
      </c>
      <c r="D102" s="83">
        <f>'⚙️ Master Threshold'!E113</f>
        <v>20</v>
      </c>
      <c r="E102" s="84">
        <v>0.0</v>
      </c>
      <c r="F102" s="85">
        <v>30.0</v>
      </c>
      <c r="G102" s="86">
        <v>30.0</v>
      </c>
      <c r="H102" s="50">
        <v>0.0</v>
      </c>
      <c r="I102" s="50">
        <v>30.0</v>
      </c>
      <c r="J102" s="51">
        <f t="shared" si="17"/>
        <v>30</v>
      </c>
      <c r="K102" s="87">
        <f t="shared" si="18"/>
        <v>0</v>
      </c>
      <c r="L102" s="81" t="str">
        <f t="shared" si="19"/>
        <v>🟠 HAMPIR HABIS</v>
      </c>
      <c r="M102" s="81"/>
    </row>
    <row r="103" ht="15.75" customHeight="1">
      <c r="A103" s="88">
        <f t="shared" si="20"/>
        <v>31</v>
      </c>
      <c r="B103" s="89" t="s">
        <v>154</v>
      </c>
      <c r="C103" s="88" t="s">
        <v>116</v>
      </c>
      <c r="D103" s="83">
        <f>'⚙️ Master Threshold'!E122</f>
        <v>1</v>
      </c>
      <c r="E103" s="84">
        <v>1.0</v>
      </c>
      <c r="F103" s="85">
        <v>1.0</v>
      </c>
      <c r="G103" s="86">
        <v>2.0</v>
      </c>
      <c r="H103" s="50">
        <v>1.0</v>
      </c>
      <c r="I103" s="50">
        <v>1.0</v>
      </c>
      <c r="J103" s="51">
        <f t="shared" si="17"/>
        <v>2</v>
      </c>
      <c r="K103" s="90">
        <f t="shared" si="18"/>
        <v>0</v>
      </c>
      <c r="L103" s="88" t="str">
        <f t="shared" si="19"/>
        <v>🟠 HAMPIR HABIS</v>
      </c>
      <c r="M103" s="88"/>
    </row>
    <row r="104" ht="18.0" customHeight="1">
      <c r="A104" s="88">
        <f t="shared" si="20"/>
        <v>32</v>
      </c>
      <c r="B104" s="82" t="s">
        <v>163</v>
      </c>
      <c r="C104" s="81" t="s">
        <v>63</v>
      </c>
      <c r="D104" s="83">
        <f>'⚙️ Master Threshold'!E131</f>
        <v>5</v>
      </c>
      <c r="E104" s="84">
        <v>0.0</v>
      </c>
      <c r="F104" s="85">
        <v>10.0</v>
      </c>
      <c r="G104" s="86">
        <v>10.0</v>
      </c>
      <c r="H104" s="50">
        <v>0.0</v>
      </c>
      <c r="I104" s="50">
        <v>10.0</v>
      </c>
      <c r="J104" s="51">
        <f t="shared" si="17"/>
        <v>10</v>
      </c>
      <c r="K104" s="87">
        <f t="shared" si="18"/>
        <v>0</v>
      </c>
      <c r="L104" s="81" t="str">
        <f t="shared" si="19"/>
        <v>🟠 HAMPIR HABIS</v>
      </c>
      <c r="M104" s="81"/>
    </row>
    <row r="105" ht="18.0" customHeight="1">
      <c r="A105" s="88">
        <f t="shared" si="20"/>
        <v>33</v>
      </c>
      <c r="B105" s="89" t="s">
        <v>171</v>
      </c>
      <c r="C105" s="88" t="s">
        <v>191</v>
      </c>
      <c r="D105" s="83">
        <f>'⚙️ Master Threshold'!E138</f>
        <v>1</v>
      </c>
      <c r="E105" s="84">
        <v>1.0</v>
      </c>
      <c r="F105" s="85">
        <v>1.0</v>
      </c>
      <c r="G105" s="86">
        <v>2.0</v>
      </c>
      <c r="H105" s="50">
        <v>1.0</v>
      </c>
      <c r="I105" s="50">
        <v>1.0</v>
      </c>
      <c r="J105" s="51">
        <f t="shared" si="17"/>
        <v>2</v>
      </c>
      <c r="K105" s="90">
        <f t="shared" si="18"/>
        <v>0</v>
      </c>
      <c r="L105" s="88" t="str">
        <f t="shared" si="19"/>
        <v>🟠 HAMPIR HABIS</v>
      </c>
      <c r="M105" s="88"/>
    </row>
    <row r="106" ht="18.0" customHeight="1">
      <c r="A106" s="81">
        <v>2.0</v>
      </c>
      <c r="B106" s="82" t="s">
        <v>130</v>
      </c>
      <c r="C106" s="81" t="s">
        <v>182</v>
      </c>
      <c r="D106" s="83">
        <f>'⚙️ Master Threshold'!E98</f>
        <v>1</v>
      </c>
      <c r="E106" s="84">
        <v>4.0</v>
      </c>
      <c r="F106" s="85">
        <v>1.0</v>
      </c>
      <c r="G106" s="86">
        <v>5.0</v>
      </c>
      <c r="H106" s="50">
        <v>4.0</v>
      </c>
      <c r="I106" s="50">
        <v>1.0</v>
      </c>
      <c r="J106" s="51">
        <f t="shared" si="17"/>
        <v>5</v>
      </c>
      <c r="K106" s="87">
        <f t="shared" si="18"/>
        <v>0</v>
      </c>
      <c r="L106" s="81" t="str">
        <f t="shared" si="19"/>
        <v>🟢 AMAN</v>
      </c>
      <c r="M106" s="81"/>
    </row>
    <row r="107" ht="18.0" customHeight="1">
      <c r="A107" s="88">
        <v>5.0</v>
      </c>
      <c r="B107" s="89" t="s">
        <v>134</v>
      </c>
      <c r="C107" s="88" t="s">
        <v>182</v>
      </c>
      <c r="D107" s="83">
        <f>'⚙️ Master Threshold'!E101</f>
        <v>5</v>
      </c>
      <c r="E107" s="84">
        <v>81.0</v>
      </c>
      <c r="F107" s="85">
        <v>23.0</v>
      </c>
      <c r="G107" s="86">
        <v>104.0</v>
      </c>
      <c r="H107" s="50">
        <v>81.0</v>
      </c>
      <c r="I107" s="50">
        <v>23.0</v>
      </c>
      <c r="J107" s="51">
        <f t="shared" si="17"/>
        <v>104</v>
      </c>
      <c r="K107" s="90">
        <f t="shared" si="18"/>
        <v>0</v>
      </c>
      <c r="L107" s="88" t="str">
        <f t="shared" si="19"/>
        <v>🟢 AMAN</v>
      </c>
      <c r="M107" s="88"/>
    </row>
    <row r="108" ht="18.0" customHeight="1">
      <c r="A108" s="88">
        <f t="shared" ref="A108:A117" si="21">A107+1</f>
        <v>6</v>
      </c>
      <c r="B108" s="82" t="s">
        <v>136</v>
      </c>
      <c r="C108" s="81" t="s">
        <v>63</v>
      </c>
      <c r="D108" s="83">
        <f>'⚙️ Master Threshold'!E103</f>
        <v>10</v>
      </c>
      <c r="E108" s="84">
        <v>1000.0</v>
      </c>
      <c r="F108" s="85">
        <v>999.0</v>
      </c>
      <c r="G108" s="86">
        <v>1999.0</v>
      </c>
      <c r="H108" s="50">
        <v>1000.0</v>
      </c>
      <c r="I108" s="50">
        <v>999.0</v>
      </c>
      <c r="J108" s="51">
        <f t="shared" si="17"/>
        <v>1999</v>
      </c>
      <c r="K108" s="87">
        <f t="shared" si="18"/>
        <v>0</v>
      </c>
      <c r="L108" s="81" t="str">
        <f t="shared" si="19"/>
        <v>🟢 AMAN</v>
      </c>
      <c r="M108" s="81"/>
    </row>
    <row r="109" ht="18.0" customHeight="1">
      <c r="A109" s="88">
        <f t="shared" si="21"/>
        <v>7</v>
      </c>
      <c r="B109" s="89" t="s">
        <v>137</v>
      </c>
      <c r="C109" s="88" t="s">
        <v>63</v>
      </c>
      <c r="D109" s="83">
        <f>'⚙️ Master Threshold'!E104</f>
        <v>1</v>
      </c>
      <c r="E109" s="84">
        <v>6.0</v>
      </c>
      <c r="F109" s="85">
        <v>2.0</v>
      </c>
      <c r="G109" s="86">
        <v>8.0</v>
      </c>
      <c r="H109" s="50">
        <v>6.0</v>
      </c>
      <c r="I109" s="50">
        <v>2.0</v>
      </c>
      <c r="J109" s="51">
        <f t="shared" si="17"/>
        <v>8</v>
      </c>
      <c r="K109" s="90">
        <f t="shared" si="18"/>
        <v>0</v>
      </c>
      <c r="L109" s="88" t="str">
        <f t="shared" si="19"/>
        <v>🟢 AMAN</v>
      </c>
      <c r="M109" s="88"/>
    </row>
    <row r="110" ht="18.0" customHeight="1">
      <c r="A110" s="88">
        <f t="shared" si="21"/>
        <v>8</v>
      </c>
      <c r="B110" s="89" t="s">
        <v>139</v>
      </c>
      <c r="C110" s="88" t="s">
        <v>182</v>
      </c>
      <c r="D110" s="83">
        <f>'⚙️ Master Threshold'!E106</f>
        <v>20</v>
      </c>
      <c r="E110" s="84">
        <v>0.0</v>
      </c>
      <c r="F110" s="85">
        <v>80.0</v>
      </c>
      <c r="G110" s="86">
        <v>80.0</v>
      </c>
      <c r="H110" s="50">
        <v>0.0</v>
      </c>
      <c r="I110" s="50">
        <v>80.0</v>
      </c>
      <c r="J110" s="51">
        <f t="shared" si="17"/>
        <v>80</v>
      </c>
      <c r="K110" s="90">
        <f t="shared" si="18"/>
        <v>0</v>
      </c>
      <c r="L110" s="88" t="str">
        <f t="shared" si="19"/>
        <v>🟢 AMAN</v>
      </c>
      <c r="M110" s="88"/>
    </row>
    <row r="111" ht="18.0" customHeight="1">
      <c r="A111" s="88">
        <f t="shared" si="21"/>
        <v>9</v>
      </c>
      <c r="B111" s="82" t="s">
        <v>192</v>
      </c>
      <c r="C111" s="81" t="s">
        <v>63</v>
      </c>
      <c r="D111" s="83">
        <f>'⚙️ Master Threshold'!E117</f>
        <v>1</v>
      </c>
      <c r="E111" s="84">
        <v>0.0</v>
      </c>
      <c r="F111" s="85">
        <v>4.0</v>
      </c>
      <c r="G111" s="86">
        <v>4.0</v>
      </c>
      <c r="H111" s="50">
        <v>0.0</v>
      </c>
      <c r="I111" s="50">
        <v>4.0</v>
      </c>
      <c r="J111" s="51">
        <f t="shared" si="17"/>
        <v>4</v>
      </c>
      <c r="K111" s="87">
        <f t="shared" si="18"/>
        <v>0</v>
      </c>
      <c r="L111" s="81" t="str">
        <f t="shared" si="19"/>
        <v>🟢 AMAN</v>
      </c>
      <c r="M111" s="81"/>
    </row>
    <row r="112" ht="18.0" customHeight="1">
      <c r="A112" s="88">
        <f t="shared" si="21"/>
        <v>10</v>
      </c>
      <c r="B112" s="82" t="s">
        <v>153</v>
      </c>
      <c r="C112" s="81" t="s">
        <v>182</v>
      </c>
      <c r="D112" s="83">
        <f>'⚙️ Master Threshold'!E121</f>
        <v>10</v>
      </c>
      <c r="E112" s="84">
        <v>25.0</v>
      </c>
      <c r="F112" s="85">
        <v>3.0</v>
      </c>
      <c r="G112" s="86">
        <v>28.0</v>
      </c>
      <c r="H112" s="50">
        <v>25.0</v>
      </c>
      <c r="I112" s="50">
        <v>3.0</v>
      </c>
      <c r="J112" s="51">
        <f t="shared" si="17"/>
        <v>28</v>
      </c>
      <c r="K112" s="87">
        <f t="shared" si="18"/>
        <v>0</v>
      </c>
      <c r="L112" s="81" t="str">
        <f t="shared" si="19"/>
        <v>🟢 AMAN</v>
      </c>
      <c r="M112" s="81"/>
    </row>
    <row r="113" ht="18.0" customHeight="1">
      <c r="A113" s="88">
        <f t="shared" si="21"/>
        <v>11</v>
      </c>
      <c r="B113" s="89" t="s">
        <v>156</v>
      </c>
      <c r="C113" s="88" t="s">
        <v>185</v>
      </c>
      <c r="D113" s="83">
        <f>'⚙️ Master Threshold'!E124</f>
        <v>10</v>
      </c>
      <c r="E113" s="84">
        <v>350.0</v>
      </c>
      <c r="F113" s="85">
        <v>85.0</v>
      </c>
      <c r="G113" s="86">
        <v>435.0</v>
      </c>
      <c r="H113" s="50">
        <v>350.0</v>
      </c>
      <c r="I113" s="50">
        <v>85.0</v>
      </c>
      <c r="J113" s="51">
        <f t="shared" si="17"/>
        <v>435</v>
      </c>
      <c r="K113" s="90">
        <f t="shared" si="18"/>
        <v>0</v>
      </c>
      <c r="L113" s="88" t="str">
        <f t="shared" si="19"/>
        <v>🟢 AMAN</v>
      </c>
      <c r="M113" s="88"/>
    </row>
    <row r="114" ht="18.0" customHeight="1">
      <c r="A114" s="88">
        <f t="shared" si="21"/>
        <v>12</v>
      </c>
      <c r="B114" s="82" t="s">
        <v>159</v>
      </c>
      <c r="C114" s="81" t="s">
        <v>190</v>
      </c>
      <c r="D114" s="83">
        <f>'⚙️ Master Threshold'!E127</f>
        <v>1</v>
      </c>
      <c r="E114" s="84">
        <v>100.0</v>
      </c>
      <c r="F114" s="85">
        <v>23.0</v>
      </c>
      <c r="G114" s="86">
        <v>123.0</v>
      </c>
      <c r="H114" s="50">
        <v>100.0</v>
      </c>
      <c r="I114" s="50">
        <v>23.0</v>
      </c>
      <c r="J114" s="51">
        <f t="shared" si="17"/>
        <v>123</v>
      </c>
      <c r="K114" s="87">
        <f t="shared" si="18"/>
        <v>0</v>
      </c>
      <c r="L114" s="81" t="str">
        <f t="shared" si="19"/>
        <v>🟢 AMAN</v>
      </c>
      <c r="M114" s="81"/>
    </row>
    <row r="115" ht="18.0" customHeight="1">
      <c r="A115" s="88">
        <f t="shared" si="21"/>
        <v>13</v>
      </c>
      <c r="B115" s="82" t="s">
        <v>161</v>
      </c>
      <c r="C115" s="81" t="s">
        <v>182</v>
      </c>
      <c r="D115" s="83">
        <f>'⚙️ Master Threshold'!E129</f>
        <v>10</v>
      </c>
      <c r="E115" s="84">
        <v>0.0</v>
      </c>
      <c r="F115" s="85">
        <v>22.0</v>
      </c>
      <c r="G115" s="86">
        <v>22.0</v>
      </c>
      <c r="H115" s="50">
        <v>0.0</v>
      </c>
      <c r="I115" s="50">
        <v>22.0</v>
      </c>
      <c r="J115" s="51">
        <f t="shared" si="17"/>
        <v>22</v>
      </c>
      <c r="K115" s="87">
        <f t="shared" si="18"/>
        <v>0</v>
      </c>
      <c r="L115" s="81" t="str">
        <f t="shared" si="19"/>
        <v>🟢 AMAN</v>
      </c>
      <c r="M115" s="81"/>
    </row>
    <row r="116" ht="18.0" customHeight="1">
      <c r="A116" s="88">
        <f t="shared" si="21"/>
        <v>14</v>
      </c>
      <c r="B116" s="89" t="s">
        <v>164</v>
      </c>
      <c r="C116" s="88" t="s">
        <v>182</v>
      </c>
      <c r="D116" s="83">
        <f>'⚙️ Master Threshold'!E132</f>
        <v>5</v>
      </c>
      <c r="E116" s="84">
        <v>0.0</v>
      </c>
      <c r="F116" s="85">
        <v>470.0</v>
      </c>
      <c r="G116" s="86">
        <v>470.0</v>
      </c>
      <c r="H116" s="50">
        <v>0.0</v>
      </c>
      <c r="I116" s="50">
        <v>470.0</v>
      </c>
      <c r="J116" s="51">
        <f t="shared" si="17"/>
        <v>470</v>
      </c>
      <c r="K116" s="90">
        <f t="shared" si="18"/>
        <v>0</v>
      </c>
      <c r="L116" s="88" t="str">
        <f t="shared" si="19"/>
        <v>🟢 AMAN</v>
      </c>
      <c r="M116" s="88"/>
    </row>
    <row r="117" ht="18.0" customHeight="1">
      <c r="A117" s="88">
        <f t="shared" si="21"/>
        <v>15</v>
      </c>
      <c r="B117" s="82" t="s">
        <v>170</v>
      </c>
      <c r="C117" s="81" t="s">
        <v>63</v>
      </c>
      <c r="D117" s="83">
        <f>'⚙️ Master Threshold'!E137</f>
        <v>10</v>
      </c>
      <c r="E117" s="84">
        <v>50.0</v>
      </c>
      <c r="F117" s="85">
        <v>22.0</v>
      </c>
      <c r="G117" s="86">
        <v>72.0</v>
      </c>
      <c r="H117" s="50">
        <v>50.0</v>
      </c>
      <c r="I117" s="50">
        <v>22.0</v>
      </c>
      <c r="J117" s="51">
        <f t="shared" si="17"/>
        <v>72</v>
      </c>
      <c r="K117" s="87">
        <f t="shared" si="18"/>
        <v>0</v>
      </c>
      <c r="L117" s="81" t="str">
        <f t="shared" si="19"/>
        <v>🟢 AMAN</v>
      </c>
      <c r="M117" s="81"/>
    </row>
    <row r="118" ht="18.0" customHeight="1">
      <c r="A118" s="106"/>
      <c r="B118" s="107" t="s">
        <v>193</v>
      </c>
      <c r="C118" s="106" t="s">
        <v>182</v>
      </c>
      <c r="D118" s="108"/>
      <c r="E118" s="109">
        <v>84.0</v>
      </c>
      <c r="F118" s="110">
        <v>0.0</v>
      </c>
      <c r="G118" s="111">
        <f>E118+F118</f>
        <v>84</v>
      </c>
      <c r="H118" s="112">
        <v>84.0</v>
      </c>
      <c r="I118" s="112">
        <v>0.0</v>
      </c>
      <c r="J118" s="113">
        <f t="shared" si="17"/>
        <v>84</v>
      </c>
      <c r="K118" s="114">
        <f t="shared" si="18"/>
        <v>0</v>
      </c>
      <c r="L118" s="106"/>
      <c r="M118" s="106"/>
    </row>
    <row r="119" ht="15.75" customHeight="1">
      <c r="A119" s="73"/>
      <c r="B119" s="74"/>
      <c r="C119" s="73"/>
      <c r="D119" s="75"/>
      <c r="E119" s="73"/>
      <c r="F119" s="73"/>
      <c r="G119" s="73"/>
      <c r="H119" s="73"/>
      <c r="I119" s="73"/>
      <c r="J119" s="73"/>
      <c r="K119" s="73"/>
      <c r="L119" s="73"/>
      <c r="M119" s="73"/>
    </row>
    <row r="120" ht="18.0" customHeight="1">
      <c r="A120" s="70" t="s">
        <v>194</v>
      </c>
      <c r="B120" s="70" t="s">
        <v>194</v>
      </c>
      <c r="C120" s="70"/>
      <c r="D120" s="71"/>
      <c r="E120" s="72"/>
      <c r="F120" s="72"/>
      <c r="G120" s="72"/>
      <c r="H120" s="72"/>
      <c r="I120" s="72"/>
      <c r="J120" s="72"/>
      <c r="K120" s="72" t="str">
        <f>IF(COUNTA(G120,J120)=0,"",IF(J120-G120=0,0,IF(J120-G120&gt;0,"+"&amp;(J120-G120),J120-G120)))</f>
        <v/>
      </c>
      <c r="L120" s="72"/>
      <c r="M120" s="72"/>
    </row>
    <row r="121" ht="28.5" customHeight="1">
      <c r="A121" s="38" t="s">
        <v>2</v>
      </c>
      <c r="B121" s="38" t="s">
        <v>3</v>
      </c>
      <c r="C121" s="38" t="s">
        <v>44</v>
      </c>
      <c r="D121" s="39" t="s">
        <v>45</v>
      </c>
      <c r="E121" s="40" t="s">
        <v>47</v>
      </c>
      <c r="F121" s="40" t="s">
        <v>48</v>
      </c>
      <c r="G121" s="40" t="s">
        <v>50</v>
      </c>
      <c r="H121" s="41" t="s">
        <v>51</v>
      </c>
      <c r="I121" s="41" t="s">
        <v>53</v>
      </c>
      <c r="J121" s="41" t="s">
        <v>55</v>
      </c>
      <c r="K121" s="42" t="s">
        <v>56</v>
      </c>
      <c r="L121" s="43" t="s">
        <v>58</v>
      </c>
      <c r="M121" s="42" t="s">
        <v>60</v>
      </c>
    </row>
    <row r="122" ht="19.5" customHeight="1">
      <c r="A122" s="76">
        <v>1.0</v>
      </c>
      <c r="B122" s="77" t="s">
        <v>95</v>
      </c>
      <c r="C122" s="78" t="s">
        <v>168</v>
      </c>
      <c r="D122" s="103">
        <f>'⚙️ Master Threshold'!E66</f>
        <v>2</v>
      </c>
      <c r="E122" s="80">
        <v>0.0</v>
      </c>
      <c r="F122" s="80">
        <v>1.7</v>
      </c>
      <c r="G122" s="80">
        <v>2.0</v>
      </c>
      <c r="H122" s="50">
        <v>0.0</v>
      </c>
      <c r="I122" s="115">
        <v>1.3</v>
      </c>
      <c r="J122" s="95">
        <f t="shared" ref="J122:J138" si="22">H122+I122</f>
        <v>1.3</v>
      </c>
      <c r="K122" s="116">
        <f t="shared" ref="K122:K138" si="23">IF(COUNTA(G122,J122)=0,"",IF(J122-G122=0,0,IF(J122-G122&gt;0,"+"&amp;(J122-G122),J122-G122)))</f>
        <v>-0.7</v>
      </c>
      <c r="L122" s="78" t="str">
        <f t="shared" ref="L122:L138" si="24">IF(D122=0,"—",IF(J122&lt;=D122,"🔴 KRITIS",IF(J122&lt;=D122*2,"🟠 HAMPIR HABIS","🟢 AMAN")))</f>
        <v>🔴 KRITIS</v>
      </c>
      <c r="M122" s="78"/>
    </row>
    <row r="123" ht="18.0" customHeight="1">
      <c r="A123" s="81">
        <v>2.0</v>
      </c>
      <c r="B123" s="82" t="s">
        <v>97</v>
      </c>
      <c r="C123" s="81" t="s">
        <v>168</v>
      </c>
      <c r="D123" s="83">
        <f>'⚙️ Master Threshold'!E67</f>
        <v>1</v>
      </c>
      <c r="E123" s="84">
        <v>0.0</v>
      </c>
      <c r="F123" s="85">
        <v>0.0</v>
      </c>
      <c r="G123" s="86">
        <v>0.1</v>
      </c>
      <c r="H123" s="50">
        <v>0.0</v>
      </c>
      <c r="I123" s="50">
        <v>0.0</v>
      </c>
      <c r="J123" s="117">
        <f t="shared" si="22"/>
        <v>0</v>
      </c>
      <c r="K123" s="118">
        <f t="shared" si="23"/>
        <v>-0.1</v>
      </c>
      <c r="L123" s="81" t="str">
        <f t="shared" si="24"/>
        <v>🔴 KRITIS</v>
      </c>
      <c r="M123" s="81"/>
    </row>
    <row r="124" ht="18.0" customHeight="1">
      <c r="A124" s="81">
        <v>4.0</v>
      </c>
      <c r="B124" s="82" t="s">
        <v>99</v>
      </c>
      <c r="C124" s="81" t="s">
        <v>168</v>
      </c>
      <c r="D124" s="83">
        <f>'⚙️ Master Threshold'!E69</f>
        <v>1</v>
      </c>
      <c r="E124" s="84">
        <v>4.0</v>
      </c>
      <c r="F124" s="85">
        <v>0.0</v>
      </c>
      <c r="G124" s="86">
        <v>4.0</v>
      </c>
      <c r="H124" s="50">
        <v>0.0</v>
      </c>
      <c r="I124" s="50">
        <v>0.0</v>
      </c>
      <c r="J124" s="51">
        <f t="shared" si="22"/>
        <v>0</v>
      </c>
      <c r="K124" s="87">
        <f t="shared" si="23"/>
        <v>-4</v>
      </c>
      <c r="L124" s="81" t="str">
        <f t="shared" si="24"/>
        <v>🔴 KRITIS</v>
      </c>
      <c r="M124" s="81"/>
    </row>
    <row r="125" ht="18.0" customHeight="1">
      <c r="A125" s="88">
        <v>5.0</v>
      </c>
      <c r="B125" s="89" t="s">
        <v>100</v>
      </c>
      <c r="C125" s="88" t="s">
        <v>63</v>
      </c>
      <c r="D125" s="83">
        <f>'⚙️ Master Threshold'!E70</f>
        <v>5</v>
      </c>
      <c r="E125" s="84">
        <v>0.0</v>
      </c>
      <c r="F125" s="85">
        <v>0.0</v>
      </c>
      <c r="G125" s="86">
        <v>0.0</v>
      </c>
      <c r="H125" s="50">
        <v>0.0</v>
      </c>
      <c r="I125" s="50">
        <v>0.0</v>
      </c>
      <c r="J125" s="51">
        <f t="shared" si="22"/>
        <v>0</v>
      </c>
      <c r="K125" s="90">
        <f t="shared" si="23"/>
        <v>0</v>
      </c>
      <c r="L125" s="88" t="str">
        <f t="shared" si="24"/>
        <v>🔴 KRITIS</v>
      </c>
      <c r="M125" s="88"/>
    </row>
    <row r="126" ht="18.0" customHeight="1">
      <c r="A126" s="81">
        <v>6.0</v>
      </c>
      <c r="B126" s="82" t="s">
        <v>101</v>
      </c>
      <c r="C126" s="81" t="s">
        <v>168</v>
      </c>
      <c r="D126" s="83">
        <f>'⚙️ Master Threshold'!E71</f>
        <v>2</v>
      </c>
      <c r="E126" s="84">
        <v>0.0</v>
      </c>
      <c r="F126" s="85">
        <v>0.0</v>
      </c>
      <c r="G126" s="86">
        <v>0.0</v>
      </c>
      <c r="H126" s="50">
        <v>0.0</v>
      </c>
      <c r="I126" s="50">
        <v>0.0</v>
      </c>
      <c r="J126" s="51">
        <f t="shared" si="22"/>
        <v>0</v>
      </c>
      <c r="K126" s="87">
        <f t="shared" si="23"/>
        <v>0</v>
      </c>
      <c r="L126" s="81" t="str">
        <f t="shared" si="24"/>
        <v>🔴 KRITIS</v>
      </c>
      <c r="M126" s="81"/>
    </row>
    <row r="127" ht="18.0" customHeight="1">
      <c r="A127" s="88">
        <v>7.0</v>
      </c>
      <c r="B127" s="89" t="s">
        <v>102</v>
      </c>
      <c r="C127" s="88" t="s">
        <v>168</v>
      </c>
      <c r="D127" s="83">
        <f>'⚙️ Master Threshold'!E72</f>
        <v>2</v>
      </c>
      <c r="E127" s="84">
        <v>0.0</v>
      </c>
      <c r="F127" s="85">
        <v>0.0</v>
      </c>
      <c r="G127" s="86">
        <v>0.0</v>
      </c>
      <c r="H127" s="50">
        <v>0.0</v>
      </c>
      <c r="I127" s="50">
        <v>0.0</v>
      </c>
      <c r="J127" s="51">
        <f t="shared" si="22"/>
        <v>0</v>
      </c>
      <c r="K127" s="90">
        <f t="shared" si="23"/>
        <v>0</v>
      </c>
      <c r="L127" s="88" t="str">
        <f t="shared" si="24"/>
        <v>🔴 KRITIS</v>
      </c>
      <c r="M127" s="88"/>
    </row>
    <row r="128" ht="18.0" customHeight="1">
      <c r="A128" s="81">
        <v>10.0</v>
      </c>
      <c r="B128" s="82" t="s">
        <v>105</v>
      </c>
      <c r="C128" s="81" t="s">
        <v>63</v>
      </c>
      <c r="D128" s="83">
        <f>'⚙️ Master Threshold'!E75</f>
        <v>3</v>
      </c>
      <c r="E128" s="84">
        <v>0.0</v>
      </c>
      <c r="F128" s="85">
        <v>1.0</v>
      </c>
      <c r="G128" s="86">
        <v>1.0</v>
      </c>
      <c r="H128" s="50">
        <v>0.0</v>
      </c>
      <c r="I128" s="50">
        <v>1.0</v>
      </c>
      <c r="J128" s="51">
        <f t="shared" si="22"/>
        <v>1</v>
      </c>
      <c r="K128" s="87">
        <f t="shared" si="23"/>
        <v>0</v>
      </c>
      <c r="L128" s="81" t="str">
        <f t="shared" si="24"/>
        <v>🔴 KRITIS</v>
      </c>
      <c r="M128" s="81"/>
    </row>
    <row r="129" ht="18.0" customHeight="1">
      <c r="A129" s="81">
        <v>12.0</v>
      </c>
      <c r="B129" s="82" t="s">
        <v>107</v>
      </c>
      <c r="C129" s="81" t="s">
        <v>195</v>
      </c>
      <c r="D129" s="83">
        <f>'⚙️ Master Threshold'!E77</f>
        <v>5</v>
      </c>
      <c r="E129" s="84">
        <v>0.0</v>
      </c>
      <c r="F129" s="85">
        <v>5.0</v>
      </c>
      <c r="G129" s="86">
        <v>5.0</v>
      </c>
      <c r="H129" s="50">
        <v>0.0</v>
      </c>
      <c r="I129" s="50">
        <v>5.0</v>
      </c>
      <c r="J129" s="51">
        <f t="shared" si="22"/>
        <v>5</v>
      </c>
      <c r="K129" s="87">
        <f t="shared" si="23"/>
        <v>0</v>
      </c>
      <c r="L129" s="81" t="str">
        <f t="shared" si="24"/>
        <v>🔴 KRITIS</v>
      </c>
      <c r="M129" s="81"/>
    </row>
    <row r="130" ht="22.5" customHeight="1">
      <c r="A130" s="88">
        <v>15.0</v>
      </c>
      <c r="B130" s="89" t="s">
        <v>110</v>
      </c>
      <c r="C130" s="88" t="s">
        <v>63</v>
      </c>
      <c r="D130" s="83">
        <f>'⚙️ Master Threshold'!E80</f>
        <v>5</v>
      </c>
      <c r="E130" s="84">
        <v>1.0</v>
      </c>
      <c r="F130" s="85">
        <v>3.0</v>
      </c>
      <c r="G130" s="86">
        <v>4.0</v>
      </c>
      <c r="H130" s="50">
        <v>1.0</v>
      </c>
      <c r="I130" s="50">
        <v>3.0</v>
      </c>
      <c r="J130" s="51">
        <f t="shared" si="22"/>
        <v>4</v>
      </c>
      <c r="K130" s="90">
        <f t="shared" si="23"/>
        <v>0</v>
      </c>
      <c r="L130" s="88" t="str">
        <f t="shared" si="24"/>
        <v>🔴 KRITIS</v>
      </c>
      <c r="M130" s="88"/>
    </row>
    <row r="131" ht="18.0" customHeight="1">
      <c r="A131" s="81">
        <v>16.0</v>
      </c>
      <c r="B131" s="82" t="s">
        <v>111</v>
      </c>
      <c r="C131" s="81" t="s">
        <v>116</v>
      </c>
      <c r="D131" s="83">
        <f>'⚙️ Master Threshold'!E81</f>
        <v>1</v>
      </c>
      <c r="E131" s="84">
        <v>1.0</v>
      </c>
      <c r="F131" s="85">
        <v>0.0</v>
      </c>
      <c r="G131" s="86">
        <v>1.0</v>
      </c>
      <c r="H131" s="50">
        <v>1.0</v>
      </c>
      <c r="I131" s="50">
        <v>0.0</v>
      </c>
      <c r="J131" s="51">
        <f t="shared" si="22"/>
        <v>1</v>
      </c>
      <c r="K131" s="87">
        <f t="shared" si="23"/>
        <v>0</v>
      </c>
      <c r="L131" s="81" t="str">
        <f t="shared" si="24"/>
        <v>🔴 KRITIS</v>
      </c>
      <c r="M131" s="81"/>
    </row>
    <row r="132" ht="18.0" customHeight="1">
      <c r="A132" s="88">
        <v>17.0</v>
      </c>
      <c r="B132" s="89" t="s">
        <v>112</v>
      </c>
      <c r="C132" s="88" t="s">
        <v>63</v>
      </c>
      <c r="D132" s="83">
        <f>'⚙️ Master Threshold'!E82</f>
        <v>5</v>
      </c>
      <c r="E132" s="84">
        <v>0.0</v>
      </c>
      <c r="F132" s="85">
        <v>0.0</v>
      </c>
      <c r="G132" s="86">
        <v>0.0</v>
      </c>
      <c r="H132" s="50">
        <v>0.0</v>
      </c>
      <c r="I132" s="50">
        <v>0.0</v>
      </c>
      <c r="J132" s="51">
        <f t="shared" si="22"/>
        <v>0</v>
      </c>
      <c r="K132" s="90">
        <f t="shared" si="23"/>
        <v>0</v>
      </c>
      <c r="L132" s="88" t="str">
        <f t="shared" si="24"/>
        <v>🔴 KRITIS</v>
      </c>
      <c r="M132" s="88"/>
    </row>
    <row r="133" ht="18.0" customHeight="1">
      <c r="A133" s="88">
        <v>11.0</v>
      </c>
      <c r="B133" s="89" t="s">
        <v>106</v>
      </c>
      <c r="C133" s="88" t="s">
        <v>63</v>
      </c>
      <c r="D133" s="83">
        <f>'⚙️ Master Threshold'!E76</f>
        <v>3</v>
      </c>
      <c r="E133" s="84">
        <v>0.0</v>
      </c>
      <c r="F133" s="85">
        <v>4.0</v>
      </c>
      <c r="G133" s="86">
        <v>4.0</v>
      </c>
      <c r="H133" s="50">
        <v>0.0</v>
      </c>
      <c r="I133" s="50">
        <v>4.0</v>
      </c>
      <c r="J133" s="51">
        <f t="shared" si="22"/>
        <v>4</v>
      </c>
      <c r="K133" s="90">
        <f t="shared" si="23"/>
        <v>0</v>
      </c>
      <c r="L133" s="88" t="str">
        <f t="shared" si="24"/>
        <v>🟠 HAMPIR HABIS</v>
      </c>
      <c r="M133" s="88"/>
    </row>
    <row r="134" ht="18.0" customHeight="1">
      <c r="A134" s="88">
        <v>3.0</v>
      </c>
      <c r="B134" s="89" t="s">
        <v>98</v>
      </c>
      <c r="C134" s="88" t="s">
        <v>168</v>
      </c>
      <c r="D134" s="83">
        <f>'⚙️ Master Threshold'!E68</f>
        <v>2</v>
      </c>
      <c r="E134" s="84">
        <v>8.1</v>
      </c>
      <c r="F134" s="85">
        <v>5.2</v>
      </c>
      <c r="G134" s="86">
        <v>13.0</v>
      </c>
      <c r="H134" s="50">
        <v>7.0</v>
      </c>
      <c r="I134" s="50">
        <v>5.2</v>
      </c>
      <c r="J134" s="95">
        <f t="shared" si="22"/>
        <v>12.2</v>
      </c>
      <c r="K134" s="119">
        <f t="shared" si="23"/>
        <v>-0.8</v>
      </c>
      <c r="L134" s="88" t="str">
        <f t="shared" si="24"/>
        <v>🟢 AMAN</v>
      </c>
      <c r="M134" s="88"/>
    </row>
    <row r="135" ht="18.0" customHeight="1">
      <c r="A135" s="81">
        <v>8.0</v>
      </c>
      <c r="B135" s="82" t="s">
        <v>103</v>
      </c>
      <c r="C135" s="81" t="s">
        <v>196</v>
      </c>
      <c r="D135" s="83">
        <f>'⚙️ Master Threshold'!E73</f>
        <v>0.5</v>
      </c>
      <c r="E135" s="84">
        <v>1.0</v>
      </c>
      <c r="F135" s="85">
        <v>0.3</v>
      </c>
      <c r="G135" s="104">
        <v>46023.0</v>
      </c>
      <c r="H135" s="50">
        <v>1.0</v>
      </c>
      <c r="I135" s="50">
        <v>0.3</v>
      </c>
      <c r="J135" s="105">
        <f t="shared" si="22"/>
        <v>1.3</v>
      </c>
      <c r="K135" s="87">
        <f t="shared" si="23"/>
        <v>-46021.7</v>
      </c>
      <c r="L135" s="81" t="str">
        <f t="shared" si="24"/>
        <v>🟢 AMAN</v>
      </c>
      <c r="M135" s="81"/>
    </row>
    <row r="136" ht="18.0" customHeight="1">
      <c r="A136" s="88">
        <v>9.0</v>
      </c>
      <c r="B136" s="89" t="s">
        <v>104</v>
      </c>
      <c r="C136" s="88" t="s">
        <v>197</v>
      </c>
      <c r="D136" s="83">
        <f>'⚙️ Master Threshold'!E74</f>
        <v>3</v>
      </c>
      <c r="E136" s="84">
        <v>15.0</v>
      </c>
      <c r="F136" s="85">
        <v>8.0</v>
      </c>
      <c r="G136" s="104">
        <v>46045.0</v>
      </c>
      <c r="H136" s="50">
        <v>15.0</v>
      </c>
      <c r="I136" s="50">
        <v>8.0</v>
      </c>
      <c r="J136" s="105">
        <f t="shared" si="22"/>
        <v>23</v>
      </c>
      <c r="K136" s="90">
        <f t="shared" si="23"/>
        <v>-46022</v>
      </c>
      <c r="L136" s="88" t="str">
        <f t="shared" si="24"/>
        <v>🟢 AMAN</v>
      </c>
      <c r="M136" s="88"/>
    </row>
    <row r="137" ht="18.0" customHeight="1">
      <c r="A137" s="88">
        <v>13.0</v>
      </c>
      <c r="B137" s="89" t="s">
        <v>108</v>
      </c>
      <c r="C137" s="88" t="s">
        <v>63</v>
      </c>
      <c r="D137" s="83">
        <f>'⚙️ Master Threshold'!E78</f>
        <v>5</v>
      </c>
      <c r="E137" s="84">
        <v>0.0</v>
      </c>
      <c r="F137" s="85">
        <v>11.0</v>
      </c>
      <c r="G137" s="86">
        <v>11.0</v>
      </c>
      <c r="H137" s="50">
        <v>0.0</v>
      </c>
      <c r="I137" s="50">
        <v>11.0</v>
      </c>
      <c r="J137" s="51">
        <f t="shared" si="22"/>
        <v>11</v>
      </c>
      <c r="K137" s="90">
        <f t="shared" si="23"/>
        <v>0</v>
      </c>
      <c r="L137" s="88" t="str">
        <f t="shared" si="24"/>
        <v>🟢 AMAN</v>
      </c>
      <c r="M137" s="88"/>
    </row>
    <row r="138" ht="18.0" customHeight="1">
      <c r="A138" s="81">
        <v>14.0</v>
      </c>
      <c r="B138" s="82" t="s">
        <v>109</v>
      </c>
      <c r="C138" s="81" t="s">
        <v>63</v>
      </c>
      <c r="D138" s="83">
        <f>'⚙️ Master Threshold'!E79</f>
        <v>5</v>
      </c>
      <c r="E138" s="84">
        <v>18.0</v>
      </c>
      <c r="F138" s="85">
        <v>5.0</v>
      </c>
      <c r="G138" s="86">
        <v>23.0</v>
      </c>
      <c r="H138" s="50">
        <v>18.0</v>
      </c>
      <c r="I138" s="50">
        <v>5.0</v>
      </c>
      <c r="J138" s="51">
        <f t="shared" si="22"/>
        <v>23</v>
      </c>
      <c r="K138" s="87">
        <f t="shared" si="23"/>
        <v>0</v>
      </c>
      <c r="L138" s="81" t="str">
        <f t="shared" si="24"/>
        <v>🟢 AMAN</v>
      </c>
      <c r="M138" s="81"/>
    </row>
    <row r="139" ht="15.75" customHeight="1">
      <c r="A139" s="73"/>
      <c r="B139" s="74"/>
      <c r="C139" s="73"/>
      <c r="D139" s="75"/>
      <c r="E139" s="73"/>
      <c r="F139" s="73"/>
      <c r="G139" s="73"/>
      <c r="H139" s="73"/>
      <c r="I139" s="73"/>
      <c r="J139" s="73"/>
      <c r="K139" s="73"/>
      <c r="L139" s="73"/>
      <c r="M139" s="73"/>
    </row>
    <row r="140" ht="18.0" customHeight="1">
      <c r="A140" s="70" t="s">
        <v>198</v>
      </c>
      <c r="B140" s="70" t="s">
        <v>198</v>
      </c>
      <c r="C140" s="70"/>
      <c r="D140" s="71"/>
      <c r="E140" s="72"/>
      <c r="F140" s="72"/>
      <c r="G140" s="72"/>
      <c r="H140" s="72"/>
      <c r="I140" s="72"/>
      <c r="J140" s="72"/>
      <c r="K140" s="72" t="str">
        <f>IF(COUNTA(G140,J140)=0,"",IF(J140-G140=0,0,IF(J140-G140&gt;0,"+"&amp;(J140-G140),J140-G140)))</f>
        <v/>
      </c>
      <c r="L140" s="72"/>
      <c r="M140" s="72"/>
    </row>
    <row r="141" ht="28.5" customHeight="1">
      <c r="A141" s="38" t="s">
        <v>2</v>
      </c>
      <c r="B141" s="38" t="s">
        <v>3</v>
      </c>
      <c r="C141" s="38" t="s">
        <v>44</v>
      </c>
      <c r="D141" s="39" t="s">
        <v>45</v>
      </c>
      <c r="E141" s="40" t="s">
        <v>47</v>
      </c>
      <c r="F141" s="40" t="s">
        <v>48</v>
      </c>
      <c r="G141" s="40" t="s">
        <v>50</v>
      </c>
      <c r="H141" s="41" t="s">
        <v>51</v>
      </c>
      <c r="I141" s="41" t="s">
        <v>53</v>
      </c>
      <c r="J141" s="41" t="s">
        <v>55</v>
      </c>
      <c r="K141" s="42" t="s">
        <v>56</v>
      </c>
      <c r="L141" s="43" t="s">
        <v>58</v>
      </c>
      <c r="M141" s="42" t="s">
        <v>60</v>
      </c>
    </row>
    <row r="142" ht="19.5" customHeight="1">
      <c r="A142" s="76">
        <v>1.0</v>
      </c>
      <c r="B142" s="77" t="s">
        <v>113</v>
      </c>
      <c r="C142" s="78" t="s">
        <v>199</v>
      </c>
      <c r="D142" s="103">
        <f>'⚙️ Master Threshold'!E83</f>
        <v>1</v>
      </c>
      <c r="E142" s="80">
        <v>0.0</v>
      </c>
      <c r="F142" s="80">
        <v>0.0</v>
      </c>
      <c r="G142" s="80">
        <v>1.0</v>
      </c>
      <c r="H142" s="50">
        <v>0.0</v>
      </c>
      <c r="I142" s="50">
        <v>0.0</v>
      </c>
      <c r="J142" s="120">
        <f t="shared" ref="J142:J154" si="25">H142+I142</f>
        <v>0</v>
      </c>
      <c r="K142" s="78">
        <f t="shared" ref="K142:K154" si="26">IF(COUNTA(G142,J142)=0,"",IF(J142-G142=0,0,IF(J142-G142&gt;0,"+"&amp;(J142-G142),J142-G142)))</f>
        <v>-1</v>
      </c>
      <c r="L142" s="78" t="str">
        <f t="shared" ref="L142:L154" si="27">IF(D142=0,"—",IF(J142&lt;=D142,"🔴 KRITIS",IF(J142&lt;=D142*2,"🟠 HAMPIR HABIS","🟢 AMAN")))</f>
        <v>🔴 KRITIS</v>
      </c>
      <c r="M142" s="78"/>
    </row>
    <row r="143" ht="18.0" customHeight="1">
      <c r="A143" s="81">
        <v>2.0</v>
      </c>
      <c r="B143" s="82" t="s">
        <v>114</v>
      </c>
      <c r="C143" s="81" t="s">
        <v>189</v>
      </c>
      <c r="D143" s="83">
        <f>'⚙️ Master Threshold'!E84</f>
        <v>1</v>
      </c>
      <c r="E143" s="84">
        <v>0.0</v>
      </c>
      <c r="F143" s="85">
        <v>0.75</v>
      </c>
      <c r="G143" s="86">
        <f>E143+F143</f>
        <v>0.75</v>
      </c>
      <c r="H143" s="50">
        <v>0.0</v>
      </c>
      <c r="I143" s="50">
        <v>0.75</v>
      </c>
      <c r="J143" s="120">
        <f t="shared" si="25"/>
        <v>0.75</v>
      </c>
      <c r="K143" s="87">
        <f t="shared" si="26"/>
        <v>0</v>
      </c>
      <c r="L143" s="81" t="str">
        <f t="shared" si="27"/>
        <v>🔴 KRITIS</v>
      </c>
      <c r="M143" s="81"/>
    </row>
    <row r="144" ht="18.0" customHeight="1">
      <c r="A144" s="88">
        <v>3.0</v>
      </c>
      <c r="B144" s="89" t="s">
        <v>115</v>
      </c>
      <c r="C144" s="88" t="s">
        <v>189</v>
      </c>
      <c r="D144" s="83">
        <f>'⚙️ Master Threshold'!E85</f>
        <v>1</v>
      </c>
      <c r="E144" s="84">
        <v>0.0</v>
      </c>
      <c r="F144" s="85">
        <v>0.0</v>
      </c>
      <c r="G144" s="86">
        <v>0.0</v>
      </c>
      <c r="H144" s="50">
        <v>0.0</v>
      </c>
      <c r="I144" s="50">
        <v>0.0</v>
      </c>
      <c r="J144" s="120">
        <f t="shared" si="25"/>
        <v>0</v>
      </c>
      <c r="K144" s="90">
        <f t="shared" si="26"/>
        <v>0</v>
      </c>
      <c r="L144" s="88" t="str">
        <f t="shared" si="27"/>
        <v>🔴 KRITIS</v>
      </c>
      <c r="M144" s="88"/>
    </row>
    <row r="145" ht="18.0" customHeight="1">
      <c r="A145" s="81">
        <v>4.0</v>
      </c>
      <c r="B145" s="82" t="s">
        <v>117</v>
      </c>
      <c r="C145" s="81" t="s">
        <v>200</v>
      </c>
      <c r="D145" s="83">
        <f>'⚙️ Master Threshold'!E86</f>
        <v>1</v>
      </c>
      <c r="E145" s="84">
        <v>0.0</v>
      </c>
      <c r="F145" s="85">
        <v>1.0</v>
      </c>
      <c r="G145" s="86">
        <v>1.0</v>
      </c>
      <c r="H145" s="50">
        <v>0.0</v>
      </c>
      <c r="I145" s="50">
        <v>1.0</v>
      </c>
      <c r="J145" s="120">
        <f t="shared" si="25"/>
        <v>1</v>
      </c>
      <c r="K145" s="87">
        <f t="shared" si="26"/>
        <v>0</v>
      </c>
      <c r="L145" s="81" t="str">
        <f t="shared" si="27"/>
        <v>🔴 KRITIS</v>
      </c>
      <c r="M145" s="81"/>
    </row>
    <row r="146" ht="18.0" customHeight="1">
      <c r="A146" s="88">
        <v>7.0</v>
      </c>
      <c r="B146" s="89" t="s">
        <v>120</v>
      </c>
      <c r="C146" s="88" t="s">
        <v>63</v>
      </c>
      <c r="D146" s="83">
        <f>'⚙️ Master Threshold'!E89</f>
        <v>3</v>
      </c>
      <c r="E146" s="84">
        <v>0.0</v>
      </c>
      <c r="F146" s="85">
        <v>2.0</v>
      </c>
      <c r="G146" s="86">
        <v>2.0</v>
      </c>
      <c r="H146" s="50">
        <v>0.0</v>
      </c>
      <c r="I146" s="50">
        <v>2.0</v>
      </c>
      <c r="J146" s="120">
        <f t="shared" si="25"/>
        <v>2</v>
      </c>
      <c r="K146" s="90">
        <f t="shared" si="26"/>
        <v>0</v>
      </c>
      <c r="L146" s="88" t="str">
        <f t="shared" si="27"/>
        <v>🔴 KRITIS</v>
      </c>
      <c r="M146" s="88"/>
    </row>
    <row r="147" ht="18.0" customHeight="1">
      <c r="A147" s="81">
        <v>8.0</v>
      </c>
      <c r="B147" s="82" t="s">
        <v>121</v>
      </c>
      <c r="C147" s="81" t="s">
        <v>63</v>
      </c>
      <c r="D147" s="83">
        <f>'⚙️ Master Threshold'!E90</f>
        <v>3</v>
      </c>
      <c r="E147" s="84">
        <v>0.0</v>
      </c>
      <c r="F147" s="85">
        <v>3.0</v>
      </c>
      <c r="G147" s="86">
        <v>3.0</v>
      </c>
      <c r="H147" s="50">
        <v>0.0</v>
      </c>
      <c r="I147" s="50">
        <v>3.0</v>
      </c>
      <c r="J147" s="120">
        <f t="shared" si="25"/>
        <v>3</v>
      </c>
      <c r="K147" s="87">
        <f t="shared" si="26"/>
        <v>0</v>
      </c>
      <c r="L147" s="81" t="str">
        <f t="shared" si="27"/>
        <v>🔴 KRITIS</v>
      </c>
      <c r="M147" s="81"/>
    </row>
    <row r="148" ht="18.0" customHeight="1">
      <c r="A148" s="88">
        <v>9.0</v>
      </c>
      <c r="B148" s="89" t="s">
        <v>122</v>
      </c>
      <c r="C148" s="88" t="s">
        <v>63</v>
      </c>
      <c r="D148" s="83">
        <f>'⚙️ Master Threshold'!E91</f>
        <v>2</v>
      </c>
      <c r="E148" s="84">
        <v>0.0</v>
      </c>
      <c r="F148" s="85">
        <v>2.0</v>
      </c>
      <c r="G148" s="86">
        <v>2.0</v>
      </c>
      <c r="H148" s="50">
        <v>0.0</v>
      </c>
      <c r="I148" s="50">
        <v>2.0</v>
      </c>
      <c r="J148" s="120">
        <f t="shared" si="25"/>
        <v>2</v>
      </c>
      <c r="K148" s="90">
        <f t="shared" si="26"/>
        <v>0</v>
      </c>
      <c r="L148" s="88" t="str">
        <f t="shared" si="27"/>
        <v>🔴 KRITIS</v>
      </c>
      <c r="M148" s="88"/>
    </row>
    <row r="149" ht="18.0" customHeight="1">
      <c r="A149" s="81">
        <v>10.0</v>
      </c>
      <c r="B149" s="82" t="s">
        <v>123</v>
      </c>
      <c r="C149" s="81" t="s">
        <v>63</v>
      </c>
      <c r="D149" s="83">
        <f>'⚙️ Master Threshold'!E92</f>
        <v>2</v>
      </c>
      <c r="E149" s="84">
        <v>0.0</v>
      </c>
      <c r="F149" s="85">
        <v>1.0</v>
      </c>
      <c r="G149" s="86">
        <v>1.0</v>
      </c>
      <c r="H149" s="50">
        <v>0.0</v>
      </c>
      <c r="I149" s="50">
        <v>1.0</v>
      </c>
      <c r="J149" s="120">
        <f t="shared" si="25"/>
        <v>1</v>
      </c>
      <c r="K149" s="87">
        <f t="shared" si="26"/>
        <v>0</v>
      </c>
      <c r="L149" s="81" t="str">
        <f t="shared" si="27"/>
        <v>🔴 KRITIS</v>
      </c>
      <c r="M149" s="81"/>
    </row>
    <row r="150" ht="18.0" customHeight="1">
      <c r="A150" s="81">
        <v>12.0</v>
      </c>
      <c r="B150" s="82" t="s">
        <v>125</v>
      </c>
      <c r="C150" s="81" t="s">
        <v>63</v>
      </c>
      <c r="D150" s="83">
        <f>'⚙️ Master Threshold'!E94</f>
        <v>2</v>
      </c>
      <c r="E150" s="84">
        <v>0.0</v>
      </c>
      <c r="F150" s="85">
        <v>3.0</v>
      </c>
      <c r="G150" s="86">
        <v>3.0</v>
      </c>
      <c r="H150" s="50">
        <v>0.0</v>
      </c>
      <c r="I150" s="50">
        <v>3.0</v>
      </c>
      <c r="J150" s="120">
        <f t="shared" si="25"/>
        <v>3</v>
      </c>
      <c r="K150" s="87">
        <f t="shared" si="26"/>
        <v>0</v>
      </c>
      <c r="L150" s="81" t="str">
        <f t="shared" si="27"/>
        <v>🟠 HAMPIR HABIS</v>
      </c>
      <c r="M150" s="81"/>
    </row>
    <row r="151" ht="18.0" customHeight="1">
      <c r="A151" s="88">
        <v>13.0</v>
      </c>
      <c r="B151" s="89" t="s">
        <v>126</v>
      </c>
      <c r="C151" s="88" t="s">
        <v>63</v>
      </c>
      <c r="D151" s="83">
        <f>'⚙️ Master Threshold'!E95</f>
        <v>5</v>
      </c>
      <c r="E151" s="84">
        <v>0.0</v>
      </c>
      <c r="F151" s="85">
        <v>8.0</v>
      </c>
      <c r="G151" s="86">
        <v>8.0</v>
      </c>
      <c r="H151" s="50">
        <v>0.0</v>
      </c>
      <c r="I151" s="50">
        <v>8.0</v>
      </c>
      <c r="J151" s="120">
        <f t="shared" si="25"/>
        <v>8</v>
      </c>
      <c r="K151" s="90">
        <f t="shared" si="26"/>
        <v>0</v>
      </c>
      <c r="L151" s="88" t="str">
        <f t="shared" si="27"/>
        <v>🟠 HAMPIR HABIS</v>
      </c>
      <c r="M151" s="88"/>
    </row>
    <row r="152" ht="18.0" customHeight="1">
      <c r="A152" s="88">
        <v>5.0</v>
      </c>
      <c r="B152" s="89" t="s">
        <v>118</v>
      </c>
      <c r="C152" s="88" t="s">
        <v>63</v>
      </c>
      <c r="D152" s="83">
        <f>'⚙️ Master Threshold'!E87</f>
        <v>5</v>
      </c>
      <c r="E152" s="84">
        <v>0.0</v>
      </c>
      <c r="F152" s="85">
        <v>11.0</v>
      </c>
      <c r="G152" s="86">
        <v>11.0</v>
      </c>
      <c r="H152" s="50">
        <v>0.0</v>
      </c>
      <c r="I152" s="50">
        <v>11.0</v>
      </c>
      <c r="J152" s="120">
        <f t="shared" si="25"/>
        <v>11</v>
      </c>
      <c r="K152" s="90">
        <f t="shared" si="26"/>
        <v>0</v>
      </c>
      <c r="L152" s="88" t="str">
        <f t="shared" si="27"/>
        <v>🟢 AMAN</v>
      </c>
      <c r="M152" s="88"/>
    </row>
    <row r="153" ht="18.0" customHeight="1">
      <c r="A153" s="81">
        <v>6.0</v>
      </c>
      <c r="B153" s="82" t="s">
        <v>119</v>
      </c>
      <c r="C153" s="81" t="s">
        <v>63</v>
      </c>
      <c r="D153" s="83">
        <f>'⚙️ Master Threshold'!E88</f>
        <v>3</v>
      </c>
      <c r="E153" s="84">
        <v>0.0</v>
      </c>
      <c r="F153" s="85">
        <v>10.0</v>
      </c>
      <c r="G153" s="86">
        <v>10.0</v>
      </c>
      <c r="H153" s="50">
        <v>0.0</v>
      </c>
      <c r="I153" s="50">
        <v>10.0</v>
      </c>
      <c r="J153" s="120">
        <f t="shared" si="25"/>
        <v>10</v>
      </c>
      <c r="K153" s="87">
        <f t="shared" si="26"/>
        <v>0</v>
      </c>
      <c r="L153" s="81" t="str">
        <f t="shared" si="27"/>
        <v>🟢 AMAN</v>
      </c>
      <c r="M153" s="81"/>
    </row>
    <row r="154" ht="18.0" customHeight="1">
      <c r="A154" s="88">
        <v>11.0</v>
      </c>
      <c r="B154" s="89" t="s">
        <v>124</v>
      </c>
      <c r="C154" s="88" t="s">
        <v>63</v>
      </c>
      <c r="D154" s="83">
        <f>'⚙️ Master Threshold'!E93</f>
        <v>2</v>
      </c>
      <c r="E154" s="84">
        <v>0.0</v>
      </c>
      <c r="F154" s="85">
        <v>5.0</v>
      </c>
      <c r="G154" s="86">
        <v>5.0</v>
      </c>
      <c r="H154" s="50">
        <v>0.0</v>
      </c>
      <c r="I154" s="50">
        <v>5.0</v>
      </c>
      <c r="J154" s="120">
        <f t="shared" si="25"/>
        <v>5</v>
      </c>
      <c r="K154" s="90">
        <f t="shared" si="26"/>
        <v>0</v>
      </c>
      <c r="L154" s="88" t="str">
        <f t="shared" si="27"/>
        <v>🟢 AMAN</v>
      </c>
      <c r="M154" s="88"/>
    </row>
    <row r="155" ht="15.75" customHeight="1">
      <c r="A155" s="73"/>
      <c r="B155" s="74"/>
      <c r="C155" s="73"/>
      <c r="D155" s="75"/>
      <c r="E155" s="73"/>
      <c r="F155" s="73"/>
      <c r="G155" s="73"/>
      <c r="H155" s="73"/>
      <c r="I155" s="73"/>
      <c r="J155" s="73"/>
      <c r="K155" s="73"/>
      <c r="L155" s="73"/>
      <c r="M155" s="73"/>
    </row>
    <row r="156" ht="15.75" customHeight="1">
      <c r="A156" s="73"/>
      <c r="B156" s="74"/>
      <c r="C156" s="73"/>
      <c r="D156" s="75"/>
      <c r="E156" s="73"/>
      <c r="F156" s="73"/>
      <c r="G156" s="73"/>
      <c r="H156" s="73"/>
      <c r="I156" s="73"/>
      <c r="J156" s="73"/>
      <c r="K156" s="73"/>
      <c r="L156" s="73"/>
      <c r="M156" s="73"/>
    </row>
    <row r="157" ht="18.0" customHeight="1">
      <c r="A157" s="70"/>
      <c r="B157" s="70" t="s">
        <v>201</v>
      </c>
      <c r="C157" s="70"/>
      <c r="D157" s="71"/>
      <c r="E157" s="72"/>
      <c r="F157" s="72"/>
      <c r="G157" s="72"/>
      <c r="H157" s="72"/>
      <c r="I157" s="72"/>
      <c r="J157" s="72"/>
      <c r="K157" s="72" t="str">
        <f>IF(COUNTA(G157,J157)=0,"",IF(J157-G157=0,0,IF(J157-G157&gt;0,"+"&amp;(J157-G157),J157-G157)))</f>
        <v/>
      </c>
      <c r="L157" s="72"/>
      <c r="M157" s="72"/>
    </row>
    <row r="158" ht="28.5" customHeight="1">
      <c r="A158" s="121" t="s">
        <v>2</v>
      </c>
      <c r="B158" s="121" t="s">
        <v>3</v>
      </c>
      <c r="C158" s="121" t="s">
        <v>44</v>
      </c>
      <c r="D158" s="122" t="s">
        <v>45</v>
      </c>
      <c r="E158" s="123" t="s">
        <v>202</v>
      </c>
      <c r="F158" s="23"/>
      <c r="G158" s="123" t="s">
        <v>203</v>
      </c>
      <c r="H158" s="23"/>
      <c r="I158" s="124" t="s">
        <v>204</v>
      </c>
      <c r="J158" s="23"/>
      <c r="K158" s="125" t="s">
        <v>56</v>
      </c>
      <c r="L158" s="126" t="s">
        <v>58</v>
      </c>
      <c r="M158" s="125" t="s">
        <v>60</v>
      </c>
    </row>
    <row r="159" ht="15.75" customHeight="1">
      <c r="A159" s="127" t="s">
        <v>205</v>
      </c>
      <c r="B159" s="128" t="s">
        <v>206</v>
      </c>
      <c r="C159" s="129" t="s">
        <v>207</v>
      </c>
      <c r="D159" s="130" t="s">
        <v>208</v>
      </c>
      <c r="E159" s="131" t="s">
        <v>209</v>
      </c>
      <c r="F159" s="132"/>
      <c r="G159" s="133">
        <v>46272.0</v>
      </c>
      <c r="H159" s="132"/>
      <c r="I159" s="131" t="s">
        <v>210</v>
      </c>
      <c r="J159" s="132"/>
      <c r="K159" s="134"/>
      <c r="L159" s="135"/>
      <c r="M159" s="135"/>
    </row>
    <row r="160" ht="15.75" customHeight="1">
      <c r="A160" s="136" t="s">
        <v>211</v>
      </c>
      <c r="B160" s="137" t="s">
        <v>212</v>
      </c>
      <c r="C160" s="138" t="s">
        <v>207</v>
      </c>
      <c r="D160" s="139" t="s">
        <v>208</v>
      </c>
      <c r="E160" s="131" t="s">
        <v>213</v>
      </c>
      <c r="F160" s="132"/>
      <c r="G160" s="133">
        <v>46272.0</v>
      </c>
      <c r="H160" s="132"/>
      <c r="I160" s="133">
        <v>46275.0</v>
      </c>
      <c r="J160" s="132"/>
      <c r="K160" s="140"/>
      <c r="L160" s="141"/>
      <c r="M160" s="141"/>
    </row>
    <row r="161" ht="15.75" customHeight="1">
      <c r="A161" s="142" t="s">
        <v>214</v>
      </c>
      <c r="B161" s="143" t="s">
        <v>215</v>
      </c>
      <c r="C161" s="138" t="s">
        <v>207</v>
      </c>
      <c r="D161" s="139" t="s">
        <v>208</v>
      </c>
      <c r="E161" s="131" t="s">
        <v>209</v>
      </c>
      <c r="F161" s="132"/>
      <c r="G161" s="133">
        <v>46272.0</v>
      </c>
      <c r="H161" s="132"/>
      <c r="I161" s="131" t="s">
        <v>210</v>
      </c>
      <c r="J161" s="132"/>
      <c r="K161" s="140"/>
      <c r="L161" s="141"/>
      <c r="M161" s="141"/>
    </row>
    <row r="162" ht="15.75" customHeight="1">
      <c r="A162" s="136" t="s">
        <v>216</v>
      </c>
      <c r="B162" s="137" t="s">
        <v>217</v>
      </c>
      <c r="C162" s="138" t="s">
        <v>207</v>
      </c>
      <c r="D162" s="139" t="s">
        <v>208</v>
      </c>
      <c r="E162" s="131" t="s">
        <v>218</v>
      </c>
      <c r="F162" s="132"/>
      <c r="G162" s="133">
        <v>46269.0</v>
      </c>
      <c r="H162" s="132"/>
      <c r="I162" s="133">
        <v>46272.0</v>
      </c>
      <c r="J162" s="132"/>
      <c r="K162" s="140"/>
      <c r="L162" s="141"/>
      <c r="M162" s="141"/>
    </row>
    <row r="163" ht="15.75" customHeight="1">
      <c r="A163" s="144">
        <v>5.0</v>
      </c>
      <c r="B163" s="143" t="s">
        <v>219</v>
      </c>
      <c r="C163" s="138" t="s">
        <v>210</v>
      </c>
      <c r="D163" s="139" t="s">
        <v>210</v>
      </c>
      <c r="E163" s="131" t="s">
        <v>213</v>
      </c>
      <c r="F163" s="132"/>
      <c r="G163" s="133"/>
      <c r="H163" s="132"/>
      <c r="I163" s="133">
        <v>46274.0</v>
      </c>
      <c r="J163" s="132"/>
      <c r="K163" s="141"/>
      <c r="L163" s="141"/>
      <c r="M163" s="141"/>
    </row>
    <row r="164" ht="15.75" customHeight="1">
      <c r="A164" s="142"/>
      <c r="B164" s="145"/>
      <c r="C164" s="138"/>
      <c r="D164" s="139"/>
      <c r="E164" s="131"/>
      <c r="F164" s="131"/>
      <c r="G164" s="133"/>
      <c r="H164" s="133"/>
      <c r="I164" s="133"/>
      <c r="J164" s="133"/>
      <c r="K164" s="141"/>
      <c r="L164" s="141"/>
      <c r="M164" s="141"/>
    </row>
    <row r="165">
      <c r="A165" s="146" t="s">
        <v>2</v>
      </c>
      <c r="B165" s="146" t="s">
        <v>3</v>
      </c>
      <c r="C165" s="146" t="s">
        <v>44</v>
      </c>
      <c r="D165" s="147" t="s">
        <v>45</v>
      </c>
      <c r="E165" s="148" t="s">
        <v>220</v>
      </c>
      <c r="F165" s="148" t="s">
        <v>203</v>
      </c>
      <c r="G165" s="149"/>
      <c r="H165" s="150" t="s">
        <v>202</v>
      </c>
      <c r="I165" s="151" t="s">
        <v>204</v>
      </c>
      <c r="J165" s="149"/>
      <c r="K165" s="152" t="s">
        <v>56</v>
      </c>
      <c r="L165" s="153" t="s">
        <v>58</v>
      </c>
      <c r="M165" s="152" t="s">
        <v>60</v>
      </c>
    </row>
    <row r="166" ht="15.75" customHeight="1">
      <c r="A166" s="144">
        <v>6.0</v>
      </c>
      <c r="B166" s="145" t="s">
        <v>221</v>
      </c>
      <c r="C166" s="138" t="s">
        <v>222</v>
      </c>
      <c r="D166" s="139">
        <v>150.0</v>
      </c>
      <c r="E166" s="154">
        <v>2240.0</v>
      </c>
      <c r="F166" s="155">
        <v>46274.0</v>
      </c>
      <c r="G166" s="156"/>
      <c r="H166" s="154">
        <v>1540.0</v>
      </c>
      <c r="I166" s="155">
        <v>46275.0</v>
      </c>
      <c r="J166" s="156"/>
      <c r="K166" s="157">
        <f>E166-H166</f>
        <v>700</v>
      </c>
      <c r="L166" s="141"/>
      <c r="M166" s="141"/>
    </row>
    <row r="167" ht="15.75" customHeight="1">
      <c r="A167" s="158"/>
      <c r="B167" s="74"/>
      <c r="C167" s="73"/>
      <c r="D167" s="75"/>
      <c r="E167" s="73"/>
      <c r="F167" s="73"/>
      <c r="G167" s="73"/>
      <c r="H167" s="73"/>
      <c r="I167" s="73"/>
      <c r="J167" s="73"/>
      <c r="K167" s="73"/>
      <c r="L167" s="73"/>
      <c r="M167" s="73"/>
    </row>
    <row r="168" ht="15.75" customHeight="1">
      <c r="A168" s="159" t="s">
        <v>223</v>
      </c>
      <c r="B168" s="160"/>
      <c r="C168" s="160"/>
      <c r="D168" s="161"/>
      <c r="E168" s="160"/>
      <c r="F168" s="160"/>
      <c r="G168" s="160"/>
      <c r="H168" s="160"/>
      <c r="I168" s="160"/>
      <c r="J168" s="160"/>
      <c r="K168" s="160"/>
      <c r="L168" s="160"/>
      <c r="M168" s="161"/>
    </row>
    <row r="169" ht="66.0" customHeight="1">
      <c r="A169" s="162"/>
      <c r="B169" s="141"/>
      <c r="C169" s="141"/>
      <c r="D169" s="163"/>
      <c r="E169" s="141"/>
      <c r="F169" s="141"/>
      <c r="G169" s="141"/>
      <c r="H169" s="141"/>
      <c r="I169" s="141"/>
      <c r="J169" s="141"/>
      <c r="K169" s="141"/>
      <c r="L169" s="141"/>
      <c r="M169" s="163"/>
    </row>
    <row r="170" ht="15.75" customHeight="1">
      <c r="A170" s="73"/>
      <c r="B170" s="74"/>
      <c r="C170" s="73"/>
      <c r="D170" s="75"/>
      <c r="E170" s="73"/>
      <c r="F170" s="73"/>
      <c r="G170" s="73"/>
      <c r="H170" s="73"/>
      <c r="I170" s="73"/>
      <c r="J170" s="73"/>
      <c r="K170" s="73"/>
      <c r="L170" s="73"/>
      <c r="M170" s="73"/>
    </row>
    <row r="171" ht="15.75" customHeight="1">
      <c r="A171" s="159" t="s">
        <v>224</v>
      </c>
      <c r="B171" s="160"/>
      <c r="C171" s="160"/>
      <c r="D171" s="161"/>
      <c r="E171" s="160"/>
      <c r="F171" s="160"/>
      <c r="G171" s="160"/>
      <c r="H171" s="160"/>
      <c r="I171" s="160"/>
      <c r="J171" s="160"/>
      <c r="K171" s="160"/>
      <c r="L171" s="160"/>
      <c r="M171" s="161"/>
    </row>
    <row r="172" ht="66.0" customHeight="1">
      <c r="A172" s="162"/>
      <c r="B172" s="141"/>
      <c r="C172" s="141"/>
      <c r="D172" s="163"/>
      <c r="E172" s="141"/>
      <c r="F172" s="141"/>
      <c r="G172" s="141"/>
      <c r="H172" s="141"/>
      <c r="I172" s="141"/>
      <c r="J172" s="141"/>
      <c r="K172" s="141"/>
      <c r="L172" s="141"/>
      <c r="M172" s="163"/>
    </row>
  </sheetData>
  <mergeCells count="30">
    <mergeCell ref="E2:G2"/>
    <mergeCell ref="H2:J2"/>
    <mergeCell ref="A3:B3"/>
    <mergeCell ref="H3:I3"/>
    <mergeCell ref="A4:D4"/>
    <mergeCell ref="K4:M4"/>
    <mergeCell ref="E1:J1"/>
    <mergeCell ref="F3:G3"/>
    <mergeCell ref="E158:F158"/>
    <mergeCell ref="G158:H158"/>
    <mergeCell ref="I158:J158"/>
    <mergeCell ref="E159:F159"/>
    <mergeCell ref="G159:H159"/>
    <mergeCell ref="I159:J159"/>
    <mergeCell ref="E160:F160"/>
    <mergeCell ref="G160:H160"/>
    <mergeCell ref="I160:J160"/>
    <mergeCell ref="E161:F161"/>
    <mergeCell ref="G161:H161"/>
    <mergeCell ref="I161:J161"/>
    <mergeCell ref="E162:F162"/>
    <mergeCell ref="G163:H163"/>
    <mergeCell ref="I163:J163"/>
    <mergeCell ref="G162:H162"/>
    <mergeCell ref="I162:J162"/>
    <mergeCell ref="F165:G165"/>
    <mergeCell ref="I165:J165"/>
    <mergeCell ref="F166:G166"/>
    <mergeCell ref="I166:J166"/>
    <mergeCell ref="E163:F163"/>
  </mergeCells>
  <conditionalFormatting sqref="A123:M138">
    <cfRule type="expression" dxfId="7" priority="1">
      <formula>$L123="🔴 KRITIS"</formula>
    </cfRule>
  </conditionalFormatting>
  <conditionalFormatting sqref="A123:M138">
    <cfRule type="expression" dxfId="8" priority="2">
      <formula>$L123="🟠 HAMPIR HABIS"</formula>
    </cfRule>
  </conditionalFormatting>
  <conditionalFormatting sqref="A143:M154">
    <cfRule type="expression" dxfId="7" priority="3">
      <formula>$L143="🔴 KRITIS"</formula>
    </cfRule>
  </conditionalFormatting>
  <conditionalFormatting sqref="A143:M154">
    <cfRule type="expression" dxfId="8" priority="4">
      <formula>$L143="🟠 HAMPIR HABIS"</formula>
    </cfRule>
  </conditionalFormatting>
  <conditionalFormatting sqref="A42:M42 A75:M118 A120:M120 A140:M140 A157:M157">
    <cfRule type="expression" dxfId="7" priority="5">
      <formula>$L42="🔴 KRITIS"</formula>
    </cfRule>
  </conditionalFormatting>
  <conditionalFormatting sqref="A42:M42 A75:M118 A120:M120 A140:M140 A157:M157">
    <cfRule type="expression" dxfId="8" priority="6">
      <formula>$L42="🟠 HAMPIR HABIS"</formula>
    </cfRule>
  </conditionalFormatting>
  <conditionalFormatting sqref="A7:M39 A45:M69 A72:M72">
    <cfRule type="expression" dxfId="7" priority="7">
      <formula>$L7="🔴 KRITIS"</formula>
    </cfRule>
  </conditionalFormatting>
  <conditionalFormatting sqref="A7:M39 A45:M69 A72:M72">
    <cfRule type="expression" dxfId="8" priority="8">
      <formula>$L7="🟠 HAMPIR HABIS"</formula>
    </cfRule>
  </conditionalFormatting>
  <dataValidations>
    <dataValidation type="list" allowBlank="1" showErrorMessage="1" sqref="E159:E163">
      <formula1>"Penuh,Dipakai,Habis"</formula1>
    </dataValidation>
  </dataValidations>
  <printOptions/>
  <pageMargins bottom="1.0" footer="0.0" header="0.0" left="0.75" right="0.75" top="1.0"/>
  <pageSetup paperSize="9" orientation="portrait"/>
  <drawing r:id="rId1"/>
  <tableParts count="5">
    <tablePart r:id="rId7"/>
    <tablePart r:id="rId8"/>
    <tablePart r:id="rId9"/>
    <tablePart r:id="rId10"/>
    <tablePart r:id="rId1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6600"/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5.0"/>
    <col customWidth="1" min="2" max="2" width="36.0"/>
    <col customWidth="1" min="3" max="3" width="22.0"/>
    <col customWidth="1" min="4" max="5" width="14.0"/>
    <col customWidth="1" min="6" max="6" width="22.0"/>
    <col customWidth="1" min="7" max="7" width="5.0"/>
    <col customWidth="1" min="8" max="26" width="14.38"/>
  </cols>
  <sheetData>
    <row r="1" ht="39.75" customHeight="1">
      <c r="A1" s="1" t="s">
        <v>0</v>
      </c>
      <c r="B1" s="2"/>
      <c r="C1" s="2"/>
      <c r="D1" s="2"/>
      <c r="E1" s="2"/>
      <c r="F1" s="2"/>
      <c r="G1" s="2"/>
    </row>
    <row r="2" ht="21.75" customHeight="1">
      <c r="A2" s="3" t="s">
        <v>1</v>
      </c>
      <c r="B2" s="2"/>
      <c r="C2" s="2"/>
      <c r="D2" s="2"/>
      <c r="E2" s="2"/>
      <c r="F2" s="2"/>
      <c r="G2" s="2"/>
    </row>
    <row r="3" ht="6.0" customHeight="1">
      <c r="A3" s="4"/>
      <c r="B3" s="5"/>
      <c r="C3" s="5"/>
      <c r="D3" s="5"/>
      <c r="E3" s="5"/>
      <c r="F3" s="5"/>
      <c r="G3" s="5"/>
    </row>
    <row r="4" ht="31.5" customHeight="1">
      <c r="A4" s="6" t="s">
        <v>2</v>
      </c>
      <c r="B4" s="6" t="s">
        <v>3</v>
      </c>
      <c r="C4" s="6" t="s">
        <v>4</v>
      </c>
      <c r="D4" s="6" t="s">
        <v>5</v>
      </c>
      <c r="E4" s="6" t="s">
        <v>6</v>
      </c>
      <c r="F4" s="6" t="s">
        <v>7</v>
      </c>
      <c r="G4" s="6"/>
    </row>
    <row r="5" ht="19.5" customHeight="1">
      <c r="A5" s="7" t="s">
        <v>8</v>
      </c>
      <c r="B5" s="2"/>
      <c r="C5" s="2"/>
      <c r="D5" s="2"/>
      <c r="E5" s="2"/>
      <c r="F5" s="2"/>
      <c r="G5" s="2"/>
    </row>
    <row r="6" ht="18.0" customHeight="1">
      <c r="A6" s="8">
        <v>1.0</v>
      </c>
      <c r="B6" s="9" t="s">
        <v>9</v>
      </c>
      <c r="C6" s="10" t="s">
        <v>10</v>
      </c>
      <c r="D6" s="11" t="str">
        <f t="shared" ref="D6:D22" si="1">'Meja Biru + Chiller'!D7</f>
        <v>#REF!</v>
      </c>
      <c r="E6" s="12">
        <v>2.0</v>
      </c>
      <c r="F6" s="9"/>
      <c r="G6" s="13"/>
    </row>
    <row r="7" ht="18.0" customHeight="1">
      <c r="A7" s="14">
        <v>2.0</v>
      </c>
      <c r="B7" s="15" t="s">
        <v>11</v>
      </c>
      <c r="C7" s="16" t="s">
        <v>10</v>
      </c>
      <c r="D7" s="11" t="str">
        <f t="shared" si="1"/>
        <v>#REF!</v>
      </c>
      <c r="E7" s="12">
        <v>1.0</v>
      </c>
      <c r="F7" s="15"/>
      <c r="G7" s="13"/>
    </row>
    <row r="8" ht="18.0" customHeight="1">
      <c r="A8" s="8">
        <v>3.0</v>
      </c>
      <c r="B8" s="9" t="s">
        <v>12</v>
      </c>
      <c r="C8" s="10" t="s">
        <v>10</v>
      </c>
      <c r="D8" s="11" t="str">
        <f t="shared" si="1"/>
        <v>#REF!</v>
      </c>
      <c r="E8" s="12">
        <v>5.0</v>
      </c>
      <c r="F8" s="9"/>
      <c r="G8" s="13"/>
    </row>
    <row r="9" ht="18.0" customHeight="1">
      <c r="A9" s="14">
        <v>4.0</v>
      </c>
      <c r="B9" s="15" t="s">
        <v>13</v>
      </c>
      <c r="C9" s="16" t="s">
        <v>10</v>
      </c>
      <c r="D9" s="11" t="str">
        <f t="shared" si="1"/>
        <v>#REF!</v>
      </c>
      <c r="E9" s="12">
        <v>125.0</v>
      </c>
      <c r="F9" s="15"/>
      <c r="G9" s="13"/>
    </row>
    <row r="10" ht="18.0" customHeight="1">
      <c r="A10" s="8">
        <v>5.0</v>
      </c>
      <c r="B10" s="9" t="s">
        <v>14</v>
      </c>
      <c r="C10" s="10" t="s">
        <v>10</v>
      </c>
      <c r="D10" s="11" t="str">
        <f t="shared" si="1"/>
        <v>#REF!</v>
      </c>
      <c r="E10" s="12">
        <v>1.0</v>
      </c>
      <c r="F10" s="9"/>
      <c r="G10" s="13"/>
    </row>
    <row r="11" ht="18.0" customHeight="1">
      <c r="A11" s="14">
        <v>6.0</v>
      </c>
      <c r="B11" s="15" t="s">
        <v>15</v>
      </c>
      <c r="C11" s="16" t="s">
        <v>10</v>
      </c>
      <c r="D11" s="11" t="str">
        <f t="shared" si="1"/>
        <v>#REF!</v>
      </c>
      <c r="E11" s="12">
        <v>8.0</v>
      </c>
      <c r="F11" s="15"/>
      <c r="G11" s="13"/>
    </row>
    <row r="12" ht="18.0" customHeight="1">
      <c r="A12" s="8">
        <v>7.0</v>
      </c>
      <c r="B12" s="9" t="s">
        <v>16</v>
      </c>
      <c r="C12" s="10" t="s">
        <v>10</v>
      </c>
      <c r="D12" s="11" t="str">
        <f t="shared" si="1"/>
        <v>#REF!</v>
      </c>
      <c r="E12" s="12">
        <v>8.0</v>
      </c>
      <c r="F12" s="9"/>
      <c r="G12" s="13"/>
    </row>
    <row r="13" ht="18.0" customHeight="1">
      <c r="A13" s="14">
        <v>8.0</v>
      </c>
      <c r="B13" s="15" t="s">
        <v>17</v>
      </c>
      <c r="C13" s="16" t="s">
        <v>10</v>
      </c>
      <c r="D13" s="11" t="str">
        <f t="shared" si="1"/>
        <v>#REF!</v>
      </c>
      <c r="E13" s="12">
        <v>8.0</v>
      </c>
      <c r="F13" s="15"/>
      <c r="G13" s="13"/>
    </row>
    <row r="14" ht="18.0" customHeight="1">
      <c r="A14" s="8">
        <v>9.0</v>
      </c>
      <c r="B14" s="9" t="s">
        <v>18</v>
      </c>
      <c r="C14" s="10" t="s">
        <v>10</v>
      </c>
      <c r="D14" s="11" t="str">
        <f t="shared" si="1"/>
        <v>#REF!</v>
      </c>
      <c r="E14" s="12">
        <f>380</f>
        <v>380</v>
      </c>
      <c r="F14" s="9"/>
      <c r="G14" s="13"/>
    </row>
    <row r="15" ht="18.0" customHeight="1">
      <c r="A15" s="14">
        <v>10.0</v>
      </c>
      <c r="B15" s="15" t="s">
        <v>20</v>
      </c>
      <c r="C15" s="16" t="s">
        <v>10</v>
      </c>
      <c r="D15" s="11" t="str">
        <f t="shared" si="1"/>
        <v>#REF!</v>
      </c>
      <c r="E15" s="12">
        <v>125.0</v>
      </c>
      <c r="F15" s="15"/>
      <c r="G15" s="13"/>
    </row>
    <row r="16" ht="18.0" customHeight="1">
      <c r="A16" s="8">
        <v>11.0</v>
      </c>
      <c r="B16" s="9" t="s">
        <v>21</v>
      </c>
      <c r="C16" s="10" t="s">
        <v>10</v>
      </c>
      <c r="D16" s="11" t="str">
        <f t="shared" si="1"/>
        <v>#REF!</v>
      </c>
      <c r="E16" s="12">
        <v>0.0</v>
      </c>
      <c r="F16" s="9"/>
      <c r="G16" s="13"/>
    </row>
    <row r="17" ht="18.0" customHeight="1">
      <c r="A17" s="14">
        <v>12.0</v>
      </c>
      <c r="B17" s="15" t="s">
        <v>23</v>
      </c>
      <c r="C17" s="16" t="s">
        <v>10</v>
      </c>
      <c r="D17" s="11" t="str">
        <f t="shared" si="1"/>
        <v>#REF!</v>
      </c>
      <c r="E17" s="12">
        <v>10.0</v>
      </c>
      <c r="F17" s="15"/>
      <c r="G17" s="13"/>
    </row>
    <row r="18" ht="18.0" customHeight="1">
      <c r="A18" s="8">
        <v>13.0</v>
      </c>
      <c r="B18" s="9" t="s">
        <v>25</v>
      </c>
      <c r="C18" s="10" t="s">
        <v>10</v>
      </c>
      <c r="D18" s="11" t="str">
        <f t="shared" si="1"/>
        <v>#REF!</v>
      </c>
      <c r="E18" s="12">
        <v>10.0</v>
      </c>
      <c r="F18" s="9"/>
      <c r="G18" s="13"/>
    </row>
    <row r="19" ht="18.0" customHeight="1">
      <c r="A19" s="14">
        <v>14.0</v>
      </c>
      <c r="B19" s="15" t="s">
        <v>27</v>
      </c>
      <c r="C19" s="16" t="s">
        <v>10</v>
      </c>
      <c r="D19" s="11" t="str">
        <f t="shared" si="1"/>
        <v>#REF!</v>
      </c>
      <c r="E19" s="12">
        <f t="shared" ref="E19:E20" si="2">30</f>
        <v>30</v>
      </c>
      <c r="F19" s="15"/>
      <c r="G19" s="13"/>
    </row>
    <row r="20" ht="18.0" customHeight="1">
      <c r="A20" s="8">
        <v>15.0</v>
      </c>
      <c r="B20" s="9" t="s">
        <v>31</v>
      </c>
      <c r="C20" s="10" t="s">
        <v>10</v>
      </c>
      <c r="D20" s="11" t="str">
        <f t="shared" si="1"/>
        <v>#REF!</v>
      </c>
      <c r="E20" s="12">
        <f t="shared" si="2"/>
        <v>30</v>
      </c>
      <c r="F20" s="9"/>
      <c r="G20" s="13"/>
    </row>
    <row r="21" ht="18.0" customHeight="1">
      <c r="A21" s="14">
        <v>16.0</v>
      </c>
      <c r="B21" s="15" t="s">
        <v>33</v>
      </c>
      <c r="C21" s="16" t="s">
        <v>10</v>
      </c>
      <c r="D21" s="11" t="str">
        <f t="shared" si="1"/>
        <v>#REF!</v>
      </c>
      <c r="E21" s="12">
        <f>100</f>
        <v>100</v>
      </c>
      <c r="F21" s="15"/>
      <c r="G21" s="13"/>
    </row>
    <row r="22" ht="18.0" customHeight="1">
      <c r="A22" s="8">
        <v>17.0</v>
      </c>
      <c r="B22" s="9" t="s">
        <v>37</v>
      </c>
      <c r="C22" s="10" t="s">
        <v>10</v>
      </c>
      <c r="D22" s="11" t="str">
        <f t="shared" si="1"/>
        <v>#REF!</v>
      </c>
      <c r="E22" s="12">
        <f t="shared" ref="E22:E23" si="3">20</f>
        <v>20</v>
      </c>
      <c r="F22" s="9"/>
      <c r="G22" s="13"/>
    </row>
    <row r="23" ht="18.0" customHeight="1">
      <c r="A23" s="14">
        <v>18.0</v>
      </c>
      <c r="B23" s="15" t="s">
        <v>38</v>
      </c>
      <c r="C23" s="16" t="s">
        <v>10</v>
      </c>
      <c r="D23" s="11" t="str">
        <f t="shared" ref="D23:D37" si="4">'Meja Biru + Chiller'!D25</f>
        <v>#REF!</v>
      </c>
      <c r="E23" s="12">
        <f t="shared" si="3"/>
        <v>20</v>
      </c>
      <c r="F23" s="15"/>
      <c r="G23" s="13"/>
    </row>
    <row r="24" ht="18.0" customHeight="1">
      <c r="A24" s="8">
        <v>19.0</v>
      </c>
      <c r="B24" s="9" t="s">
        <v>39</v>
      </c>
      <c r="C24" s="10" t="s">
        <v>10</v>
      </c>
      <c r="D24" s="11" t="str">
        <f t="shared" si="4"/>
        <v>#REF!</v>
      </c>
      <c r="E24" s="12">
        <f>45</f>
        <v>45</v>
      </c>
      <c r="F24" s="9"/>
      <c r="G24" s="13"/>
    </row>
    <row r="25" ht="18.0" customHeight="1">
      <c r="A25" s="14">
        <v>20.0</v>
      </c>
      <c r="B25" s="15" t="s">
        <v>41</v>
      </c>
      <c r="C25" s="16" t="s">
        <v>10</v>
      </c>
      <c r="D25" s="11" t="str">
        <f t="shared" si="4"/>
        <v>#REF!</v>
      </c>
      <c r="E25" s="12">
        <v>1.0</v>
      </c>
      <c r="F25" s="15"/>
      <c r="G25" s="13"/>
    </row>
    <row r="26" ht="18.0" customHeight="1">
      <c r="A26" s="8">
        <v>21.0</v>
      </c>
      <c r="B26" s="9" t="s">
        <v>42</v>
      </c>
      <c r="C26" s="10" t="s">
        <v>10</v>
      </c>
      <c r="D26" s="11" t="str">
        <f t="shared" si="4"/>
        <v>#REF!</v>
      </c>
      <c r="E26" s="12">
        <v>1.0</v>
      </c>
      <c r="F26" s="9"/>
      <c r="G26" s="13"/>
    </row>
    <row r="27" ht="18.0" customHeight="1">
      <c r="A27" s="14">
        <v>22.0</v>
      </c>
      <c r="B27" s="15" t="s">
        <v>43</v>
      </c>
      <c r="C27" s="16" t="s">
        <v>10</v>
      </c>
      <c r="D27" s="11" t="str">
        <f t="shared" si="4"/>
        <v>#REF!</v>
      </c>
      <c r="E27" s="12">
        <v>1.0</v>
      </c>
      <c r="F27" s="15"/>
      <c r="G27" s="13"/>
    </row>
    <row r="28" ht="18.0" customHeight="1">
      <c r="A28" s="8">
        <v>23.0</v>
      </c>
      <c r="B28" s="9" t="s">
        <v>46</v>
      </c>
      <c r="C28" s="10" t="s">
        <v>10</v>
      </c>
      <c r="D28" s="11" t="str">
        <f t="shared" si="4"/>
        <v>#REF!</v>
      </c>
      <c r="E28" s="12">
        <v>1.0</v>
      </c>
      <c r="F28" s="9"/>
      <c r="G28" s="13"/>
    </row>
    <row r="29" ht="18.0" customHeight="1">
      <c r="A29" s="14">
        <v>24.0</v>
      </c>
      <c r="B29" s="15" t="s">
        <v>49</v>
      </c>
      <c r="C29" s="16" t="s">
        <v>10</v>
      </c>
      <c r="D29" s="11" t="str">
        <f t="shared" si="4"/>
        <v>#REF!</v>
      </c>
      <c r="E29" s="12">
        <f>100</f>
        <v>100</v>
      </c>
      <c r="F29" s="15"/>
      <c r="G29" s="13"/>
    </row>
    <row r="30" ht="18.0" customHeight="1">
      <c r="A30" s="8">
        <v>25.0</v>
      </c>
      <c r="B30" s="9" t="s">
        <v>52</v>
      </c>
      <c r="C30" s="10" t="s">
        <v>10</v>
      </c>
      <c r="D30" s="11" t="str">
        <f t="shared" si="4"/>
        <v>#REF!</v>
      </c>
      <c r="E30" s="12">
        <v>0.0</v>
      </c>
      <c r="F30" s="9"/>
      <c r="G30" s="13"/>
    </row>
    <row r="31" ht="18.0" customHeight="1">
      <c r="A31" s="14">
        <v>26.0</v>
      </c>
      <c r="B31" s="15" t="s">
        <v>54</v>
      </c>
      <c r="C31" s="16" t="s">
        <v>10</v>
      </c>
      <c r="D31" s="11" t="str">
        <f t="shared" si="4"/>
        <v>#REF!</v>
      </c>
      <c r="E31" s="12">
        <v>3.0</v>
      </c>
      <c r="F31" s="15"/>
      <c r="G31" s="13"/>
    </row>
    <row r="32" ht="18.0" customHeight="1">
      <c r="A32" s="8">
        <v>27.0</v>
      </c>
      <c r="B32" s="9" t="s">
        <v>57</v>
      </c>
      <c r="C32" s="10" t="s">
        <v>10</v>
      </c>
      <c r="D32" s="11" t="str">
        <f t="shared" si="4"/>
        <v>#REF!</v>
      </c>
      <c r="E32" s="12">
        <v>0.0</v>
      </c>
      <c r="F32" s="9"/>
      <c r="G32" s="13"/>
    </row>
    <row r="33" ht="18.0" customHeight="1">
      <c r="A33" s="14">
        <v>28.0</v>
      </c>
      <c r="B33" s="15" t="s">
        <v>59</v>
      </c>
      <c r="C33" s="16" t="s">
        <v>10</v>
      </c>
      <c r="D33" s="11" t="str">
        <f t="shared" si="4"/>
        <v>#REF!</v>
      </c>
      <c r="E33" s="12">
        <v>0.0</v>
      </c>
      <c r="F33" s="15"/>
      <c r="G33" s="13"/>
    </row>
    <row r="34" ht="18.0" customHeight="1">
      <c r="A34" s="8">
        <v>29.0</v>
      </c>
      <c r="B34" s="9" t="s">
        <v>61</v>
      </c>
      <c r="C34" s="10" t="s">
        <v>10</v>
      </c>
      <c r="D34" s="11" t="str">
        <f t="shared" si="4"/>
        <v>#REF!</v>
      </c>
      <c r="E34" s="12">
        <v>0.0</v>
      </c>
      <c r="F34" s="9"/>
      <c r="G34" s="13"/>
    </row>
    <row r="35" ht="18.0" customHeight="1">
      <c r="A35" s="14">
        <v>30.0</v>
      </c>
      <c r="B35" s="15" t="s">
        <v>62</v>
      </c>
      <c r="C35" s="16" t="s">
        <v>10</v>
      </c>
      <c r="D35" s="11" t="str">
        <f t="shared" si="4"/>
        <v>#REF!</v>
      </c>
      <c r="E35" s="12">
        <f>100</f>
        <v>100</v>
      </c>
      <c r="F35" s="15"/>
      <c r="G35" s="13"/>
    </row>
    <row r="36" ht="18.0" customHeight="1">
      <c r="A36" s="8">
        <v>31.0</v>
      </c>
      <c r="B36" s="9" t="s">
        <v>64</v>
      </c>
      <c r="C36" s="10" t="s">
        <v>10</v>
      </c>
      <c r="D36" s="11" t="str">
        <f t="shared" si="4"/>
        <v>#REF!</v>
      </c>
      <c r="E36" s="12">
        <v>5.0</v>
      </c>
      <c r="F36" s="9"/>
      <c r="G36" s="13"/>
    </row>
    <row r="37" ht="18.0" customHeight="1">
      <c r="A37" s="8">
        <v>32.0</v>
      </c>
      <c r="B37" s="9" t="s">
        <v>65</v>
      </c>
      <c r="C37" s="10" t="s">
        <v>10</v>
      </c>
      <c r="D37" s="11" t="str">
        <f t="shared" si="4"/>
        <v>#REF!</v>
      </c>
      <c r="E37" s="12">
        <v>40.0</v>
      </c>
      <c r="F37" s="9"/>
      <c r="G37" s="13"/>
    </row>
    <row r="38" ht="18.0" customHeight="1">
      <c r="A38" s="8">
        <v>33.0</v>
      </c>
      <c r="B38" s="9" t="s">
        <v>66</v>
      </c>
      <c r="C38" s="10" t="s">
        <v>10</v>
      </c>
      <c r="D38" s="11" t="str">
        <f>'Meja Biru + Chiller'!D52</f>
        <v>#REF!</v>
      </c>
      <c r="E38" s="49">
        <v>100.0</v>
      </c>
      <c r="F38" s="9"/>
      <c r="G38" s="13"/>
    </row>
    <row r="39" ht="18.0" customHeight="1">
      <c r="A39" s="14">
        <f t="shared" ref="A39:A64" si="5">A38+1</f>
        <v>34</v>
      </c>
      <c r="B39" s="15" t="s">
        <v>67</v>
      </c>
      <c r="C39" s="16" t="s">
        <v>10</v>
      </c>
      <c r="D39" s="11" t="str">
        <f t="shared" ref="D39:D40" si="6">'Meja Biru + Chiller'!D45</f>
        <v>#REF!</v>
      </c>
      <c r="E39" s="12">
        <v>250.0</v>
      </c>
      <c r="F39" s="15"/>
      <c r="G39" s="13"/>
    </row>
    <row r="40" ht="18.0" customHeight="1">
      <c r="A40" s="14">
        <f t="shared" si="5"/>
        <v>35</v>
      </c>
      <c r="B40" s="9" t="s">
        <v>68</v>
      </c>
      <c r="C40" s="10" t="s">
        <v>10</v>
      </c>
      <c r="D40" s="11" t="str">
        <f t="shared" si="6"/>
        <v>#REF!</v>
      </c>
      <c r="E40" s="12">
        <v>100.0</v>
      </c>
      <c r="F40" s="9"/>
      <c r="G40" s="13"/>
    </row>
    <row r="41" ht="18.0" customHeight="1">
      <c r="A41" s="14">
        <f t="shared" si="5"/>
        <v>36</v>
      </c>
      <c r="B41" s="15" t="s">
        <v>69</v>
      </c>
      <c r="C41" s="16" t="s">
        <v>10</v>
      </c>
      <c r="D41" s="11" t="str">
        <f>'Meja Biru + Chiller'!D53</f>
        <v>#REF!</v>
      </c>
      <c r="E41" s="12">
        <v>200.0</v>
      </c>
      <c r="F41" s="15"/>
      <c r="G41" s="13"/>
    </row>
    <row r="42" ht="18.0" customHeight="1">
      <c r="A42" s="14">
        <f t="shared" si="5"/>
        <v>37</v>
      </c>
      <c r="B42" s="9" t="s">
        <v>70</v>
      </c>
      <c r="C42" s="10" t="s">
        <v>10</v>
      </c>
      <c r="D42" s="11" t="str">
        <f t="shared" ref="D42:D46" si="7">'Meja Biru + Chiller'!D47</f>
        <v>#REF!</v>
      </c>
      <c r="E42" s="12">
        <f>90</f>
        <v>90</v>
      </c>
      <c r="F42" s="9"/>
      <c r="G42" s="13"/>
    </row>
    <row r="43" ht="18.0" customHeight="1">
      <c r="A43" s="14">
        <f t="shared" si="5"/>
        <v>38</v>
      </c>
      <c r="B43" s="15" t="s">
        <v>71</v>
      </c>
      <c r="C43" s="16" t="s">
        <v>10</v>
      </c>
      <c r="D43" s="11" t="str">
        <f t="shared" si="7"/>
        <v>#REF!</v>
      </c>
      <c r="E43" s="12">
        <v>90.0</v>
      </c>
      <c r="F43" s="15"/>
      <c r="G43" s="13"/>
    </row>
    <row r="44" ht="18.0" customHeight="1">
      <c r="A44" s="14">
        <f t="shared" si="5"/>
        <v>39</v>
      </c>
      <c r="B44" s="9" t="s">
        <v>72</v>
      </c>
      <c r="C44" s="10" t="s">
        <v>10</v>
      </c>
      <c r="D44" s="11" t="str">
        <f t="shared" si="7"/>
        <v>#REF!</v>
      </c>
      <c r="E44" s="12">
        <f>40</f>
        <v>40</v>
      </c>
      <c r="F44" s="9"/>
      <c r="G44" s="13"/>
    </row>
    <row r="45" ht="18.0" customHeight="1">
      <c r="A45" s="14">
        <f t="shared" si="5"/>
        <v>40</v>
      </c>
      <c r="B45" s="15" t="s">
        <v>73</v>
      </c>
      <c r="C45" s="16" t="s">
        <v>10</v>
      </c>
      <c r="D45" s="11" t="str">
        <f t="shared" si="7"/>
        <v>#REF!</v>
      </c>
      <c r="E45" s="12">
        <f t="shared" ref="E45:E46" si="8">90</f>
        <v>90</v>
      </c>
      <c r="F45" s="15"/>
      <c r="G45" s="13"/>
    </row>
    <row r="46" ht="18.0" customHeight="1">
      <c r="A46" s="14">
        <f t="shared" si="5"/>
        <v>41</v>
      </c>
      <c r="B46" s="9" t="s">
        <v>74</v>
      </c>
      <c r="C46" s="10" t="s">
        <v>10</v>
      </c>
      <c r="D46" s="11" t="str">
        <f t="shared" si="7"/>
        <v>#REF!</v>
      </c>
      <c r="E46" s="12">
        <f t="shared" si="8"/>
        <v>90</v>
      </c>
      <c r="F46" s="9"/>
      <c r="G46" s="13"/>
    </row>
    <row r="47" ht="18.0" customHeight="1">
      <c r="A47" s="14">
        <f t="shared" si="5"/>
        <v>42</v>
      </c>
      <c r="B47" s="15" t="s">
        <v>75</v>
      </c>
      <c r="C47" s="16" t="s">
        <v>10</v>
      </c>
      <c r="D47" s="11" t="str">
        <f t="shared" ref="D47:D51" si="9">'Meja Biru + Chiller'!D54</f>
        <v>#REF!</v>
      </c>
      <c r="E47" s="12">
        <v>25.0</v>
      </c>
      <c r="F47" s="15"/>
      <c r="G47" s="13"/>
    </row>
    <row r="48" ht="18.0" customHeight="1">
      <c r="A48" s="14">
        <f t="shared" si="5"/>
        <v>43</v>
      </c>
      <c r="B48" s="9" t="s">
        <v>76</v>
      </c>
      <c r="C48" s="10" t="s">
        <v>10</v>
      </c>
      <c r="D48" s="11" t="str">
        <f t="shared" si="9"/>
        <v>#REF!</v>
      </c>
      <c r="E48" s="12">
        <v>25.0</v>
      </c>
      <c r="F48" s="9"/>
      <c r="G48" s="13"/>
    </row>
    <row r="49" ht="18.0" customHeight="1">
      <c r="A49" s="14">
        <f t="shared" si="5"/>
        <v>44</v>
      </c>
      <c r="B49" s="15" t="s">
        <v>77</v>
      </c>
      <c r="C49" s="16" t="s">
        <v>10</v>
      </c>
      <c r="D49" s="11" t="str">
        <f t="shared" si="9"/>
        <v>#REF!</v>
      </c>
      <c r="E49" s="12">
        <v>0.0</v>
      </c>
      <c r="F49" s="15"/>
      <c r="G49" s="13"/>
    </row>
    <row r="50" ht="18.0" customHeight="1">
      <c r="A50" s="14">
        <f t="shared" si="5"/>
        <v>45</v>
      </c>
      <c r="B50" s="9" t="s">
        <v>78</v>
      </c>
      <c r="C50" s="10" t="s">
        <v>10</v>
      </c>
      <c r="D50" s="11" t="str">
        <f t="shared" si="9"/>
        <v>#REF!</v>
      </c>
      <c r="E50" s="12">
        <f t="shared" ref="E50:E51" si="10">1000</f>
        <v>1000</v>
      </c>
      <c r="F50" s="9"/>
      <c r="G50" s="13"/>
    </row>
    <row r="51" ht="18.0" customHeight="1">
      <c r="A51" s="14">
        <f t="shared" si="5"/>
        <v>46</v>
      </c>
      <c r="B51" s="15" t="s">
        <v>79</v>
      </c>
      <c r="C51" s="16" t="s">
        <v>10</v>
      </c>
      <c r="D51" s="11" t="str">
        <f t="shared" si="9"/>
        <v>#REF!</v>
      </c>
      <c r="E51" s="12">
        <f t="shared" si="10"/>
        <v>1000</v>
      </c>
      <c r="F51" s="15"/>
      <c r="G51" s="13"/>
    </row>
    <row r="52" ht="18.0" customHeight="1">
      <c r="A52" s="14">
        <f t="shared" si="5"/>
        <v>47</v>
      </c>
      <c r="B52" s="9" t="s">
        <v>80</v>
      </c>
      <c r="C52" s="10" t="s">
        <v>10</v>
      </c>
      <c r="D52" s="11" t="str">
        <f t="shared" ref="D52:D60" si="11">'Meja Biru + Chiller'!D60</f>
        <v>#REF!</v>
      </c>
      <c r="E52" s="12">
        <f>225+45</f>
        <v>270</v>
      </c>
      <c r="F52" s="9"/>
      <c r="G52" s="13"/>
    </row>
    <row r="53" ht="18.0" customHeight="1">
      <c r="A53" s="14">
        <f t="shared" si="5"/>
        <v>48</v>
      </c>
      <c r="B53" s="15" t="s">
        <v>81</v>
      </c>
      <c r="C53" s="16" t="s">
        <v>10</v>
      </c>
      <c r="D53" s="11" t="str">
        <f t="shared" si="11"/>
        <v>#REF!</v>
      </c>
      <c r="E53" s="12">
        <v>250.0</v>
      </c>
      <c r="F53" s="15"/>
      <c r="G53" s="13"/>
    </row>
    <row r="54" ht="18.0" customHeight="1">
      <c r="A54" s="14">
        <f t="shared" si="5"/>
        <v>49</v>
      </c>
      <c r="B54" s="9" t="s">
        <v>82</v>
      </c>
      <c r="C54" s="10" t="s">
        <v>10</v>
      </c>
      <c r="D54" s="11" t="str">
        <f t="shared" si="11"/>
        <v>#REF!</v>
      </c>
      <c r="E54" s="12">
        <v>48.0</v>
      </c>
      <c r="F54" s="9"/>
      <c r="G54" s="13"/>
    </row>
    <row r="55" ht="18.0" customHeight="1">
      <c r="A55" s="14">
        <f t="shared" si="5"/>
        <v>50</v>
      </c>
      <c r="B55" s="15" t="s">
        <v>83</v>
      </c>
      <c r="C55" s="16" t="s">
        <v>10</v>
      </c>
      <c r="D55" s="11" t="str">
        <f t="shared" si="11"/>
        <v>#REF!</v>
      </c>
      <c r="E55" s="12">
        <v>4.0</v>
      </c>
      <c r="F55" s="15"/>
      <c r="G55" s="13"/>
    </row>
    <row r="56" ht="18.0" customHeight="1">
      <c r="A56" s="14">
        <f t="shared" si="5"/>
        <v>51</v>
      </c>
      <c r="B56" s="9" t="s">
        <v>84</v>
      </c>
      <c r="C56" s="10" t="s">
        <v>10</v>
      </c>
      <c r="D56" s="11" t="str">
        <f t="shared" si="11"/>
        <v>#REF!</v>
      </c>
      <c r="E56" s="12">
        <v>250.0</v>
      </c>
      <c r="F56" s="9"/>
      <c r="G56" s="13"/>
    </row>
    <row r="57" ht="18.0" customHeight="1">
      <c r="A57" s="14">
        <f t="shared" si="5"/>
        <v>52</v>
      </c>
      <c r="B57" s="15" t="s">
        <v>85</v>
      </c>
      <c r="C57" s="16" t="s">
        <v>10</v>
      </c>
      <c r="D57" s="11" t="str">
        <f t="shared" si="11"/>
        <v>#REF!</v>
      </c>
      <c r="E57" s="12">
        <v>70.0</v>
      </c>
      <c r="F57" s="15"/>
      <c r="G57" s="13"/>
    </row>
    <row r="58" ht="18.0" customHeight="1">
      <c r="A58" s="14">
        <f t="shared" si="5"/>
        <v>53</v>
      </c>
      <c r="B58" s="9" t="s">
        <v>86</v>
      </c>
      <c r="C58" s="10" t="s">
        <v>10</v>
      </c>
      <c r="D58" s="11" t="str">
        <f t="shared" si="11"/>
        <v>#REF!</v>
      </c>
      <c r="E58" s="12">
        <v>70.0</v>
      </c>
      <c r="F58" s="9"/>
      <c r="G58" s="13"/>
    </row>
    <row r="59" ht="18.0" customHeight="1">
      <c r="A59" s="14">
        <f t="shared" si="5"/>
        <v>54</v>
      </c>
      <c r="B59" s="15" t="s">
        <v>87</v>
      </c>
      <c r="C59" s="16" t="s">
        <v>10</v>
      </c>
      <c r="D59" s="11" t="str">
        <f t="shared" si="11"/>
        <v>#REF!</v>
      </c>
      <c r="E59" s="12">
        <f>90+200</f>
        <v>290</v>
      </c>
      <c r="F59" s="15"/>
      <c r="G59" s="13"/>
    </row>
    <row r="60" ht="18.0" customHeight="1">
      <c r="A60" s="14">
        <f t="shared" si="5"/>
        <v>55</v>
      </c>
      <c r="B60" s="9" t="s">
        <v>88</v>
      </c>
      <c r="C60" s="10" t="s">
        <v>10</v>
      </c>
      <c r="D60" s="11" t="str">
        <f t="shared" si="11"/>
        <v>#REF!</v>
      </c>
      <c r="E60" s="12">
        <v>8.0</v>
      </c>
      <c r="F60" s="9"/>
      <c r="G60" s="13"/>
    </row>
    <row r="61" ht="18.0" customHeight="1">
      <c r="A61" s="14">
        <f t="shared" si="5"/>
        <v>56</v>
      </c>
      <c r="B61" s="15" t="s">
        <v>89</v>
      </c>
      <c r="C61" s="16" t="s">
        <v>10</v>
      </c>
      <c r="D61" s="11" t="str">
        <f>'Meja Biru + Chiller'!D59</f>
        <v>#REF!</v>
      </c>
      <c r="E61" s="12">
        <v>40.0</v>
      </c>
      <c r="F61" s="15"/>
      <c r="G61" s="13"/>
    </row>
    <row r="62" ht="18.0" customHeight="1">
      <c r="A62" s="14">
        <f t="shared" si="5"/>
        <v>57</v>
      </c>
      <c r="B62" s="9" t="s">
        <v>90</v>
      </c>
      <c r="C62" s="10" t="s">
        <v>10</v>
      </c>
      <c r="D62" s="11" t="str">
        <f>'Meja Biru + Chiller'!D69</f>
        <v>#REF!</v>
      </c>
      <c r="E62" s="12">
        <f>100</f>
        <v>100</v>
      </c>
      <c r="F62" s="9"/>
      <c r="G62" s="13"/>
    </row>
    <row r="63" ht="18.0" customHeight="1">
      <c r="A63" s="14">
        <f t="shared" si="5"/>
        <v>58</v>
      </c>
      <c r="B63" s="15" t="s">
        <v>91</v>
      </c>
      <c r="C63" s="16" t="s">
        <v>10</v>
      </c>
      <c r="D63" s="11" t="str">
        <f>'Meja Biru + Chiller'!D24</f>
        <v>#REF!</v>
      </c>
      <c r="E63" s="12">
        <f>75</f>
        <v>75</v>
      </c>
      <c r="F63" s="15"/>
      <c r="G63" s="13"/>
    </row>
    <row r="64" ht="18.0" customHeight="1">
      <c r="A64" s="14">
        <f t="shared" si="5"/>
        <v>59</v>
      </c>
      <c r="B64" s="9" t="s">
        <v>93</v>
      </c>
      <c r="C64" s="10" t="s">
        <v>10</v>
      </c>
      <c r="D64" s="11" t="str">
        <f>'Meja Biru + Chiller'!D72</f>
        <v>#REF!</v>
      </c>
      <c r="E64" s="12">
        <f>100</f>
        <v>100</v>
      </c>
      <c r="F64" s="9"/>
      <c r="G64" s="13"/>
    </row>
    <row r="65" ht="19.5" customHeight="1">
      <c r="A65" s="60" t="s">
        <v>94</v>
      </c>
      <c r="B65" s="2"/>
      <c r="C65" s="2"/>
      <c r="D65" s="2"/>
      <c r="E65" s="2"/>
      <c r="F65" s="2"/>
      <c r="G65" s="2"/>
    </row>
    <row r="66" ht="18.0" customHeight="1">
      <c r="A66" s="14">
        <f>A64+1</f>
        <v>60</v>
      </c>
      <c r="B66" s="15" t="s">
        <v>95</v>
      </c>
      <c r="C66" s="16" t="s">
        <v>96</v>
      </c>
      <c r="D66" s="11" t="str">
        <f t="shared" ref="D66:D81" si="12">'Meja Biru + Chiller'!D123</f>
        <v>#REF!</v>
      </c>
      <c r="E66" s="12">
        <v>2.0</v>
      </c>
      <c r="F66" s="15"/>
      <c r="G66" s="13"/>
    </row>
    <row r="67" ht="18.0" customHeight="1">
      <c r="A67" s="14">
        <f t="shared" ref="A67:A95" si="13">A66+1</f>
        <v>61</v>
      </c>
      <c r="B67" s="9" t="s">
        <v>97</v>
      </c>
      <c r="C67" s="10" t="s">
        <v>96</v>
      </c>
      <c r="D67" s="11" t="str">
        <f t="shared" si="12"/>
        <v>#REF!</v>
      </c>
      <c r="E67" s="12">
        <v>1.0</v>
      </c>
      <c r="F67" s="9"/>
      <c r="G67" s="13"/>
    </row>
    <row r="68" ht="18.0" customHeight="1">
      <c r="A68" s="14">
        <f t="shared" si="13"/>
        <v>62</v>
      </c>
      <c r="B68" s="15" t="s">
        <v>98</v>
      </c>
      <c r="C68" s="16" t="s">
        <v>96</v>
      </c>
      <c r="D68" s="11" t="str">
        <f t="shared" si="12"/>
        <v>#REF!</v>
      </c>
      <c r="E68" s="12">
        <v>2.0</v>
      </c>
      <c r="F68" s="15"/>
      <c r="G68" s="13"/>
    </row>
    <row r="69" ht="18.0" customHeight="1">
      <c r="A69" s="14">
        <f t="shared" si="13"/>
        <v>63</v>
      </c>
      <c r="B69" s="9" t="s">
        <v>99</v>
      </c>
      <c r="C69" s="10" t="s">
        <v>96</v>
      </c>
      <c r="D69" s="11" t="str">
        <f t="shared" si="12"/>
        <v>#REF!</v>
      </c>
      <c r="E69" s="12">
        <v>1.0</v>
      </c>
      <c r="F69" s="9"/>
      <c r="G69" s="13"/>
    </row>
    <row r="70" ht="18.0" customHeight="1">
      <c r="A70" s="14">
        <f t="shared" si="13"/>
        <v>64</v>
      </c>
      <c r="B70" s="15" t="s">
        <v>100</v>
      </c>
      <c r="C70" s="16" t="s">
        <v>96</v>
      </c>
      <c r="D70" s="11" t="str">
        <f t="shared" si="12"/>
        <v>#REF!</v>
      </c>
      <c r="E70" s="12">
        <v>5.0</v>
      </c>
      <c r="F70" s="15"/>
      <c r="G70" s="13"/>
    </row>
    <row r="71" ht="18.0" customHeight="1">
      <c r="A71" s="14">
        <f t="shared" si="13"/>
        <v>65</v>
      </c>
      <c r="B71" s="9" t="s">
        <v>101</v>
      </c>
      <c r="C71" s="10" t="s">
        <v>96</v>
      </c>
      <c r="D71" s="11" t="str">
        <f t="shared" si="12"/>
        <v>#REF!</v>
      </c>
      <c r="E71" s="12">
        <v>2.0</v>
      </c>
      <c r="F71" s="9"/>
      <c r="G71" s="13"/>
    </row>
    <row r="72" ht="18.0" customHeight="1">
      <c r="A72" s="14">
        <f t="shared" si="13"/>
        <v>66</v>
      </c>
      <c r="B72" s="15" t="s">
        <v>102</v>
      </c>
      <c r="C72" s="16" t="s">
        <v>96</v>
      </c>
      <c r="D72" s="11" t="str">
        <f t="shared" si="12"/>
        <v>#REF!</v>
      </c>
      <c r="E72" s="12">
        <v>2.0</v>
      </c>
      <c r="F72" s="15"/>
      <c r="G72" s="13"/>
    </row>
    <row r="73" ht="18.0" customHeight="1">
      <c r="A73" s="14">
        <f t="shared" si="13"/>
        <v>67</v>
      </c>
      <c r="B73" s="9" t="s">
        <v>103</v>
      </c>
      <c r="C73" s="10" t="s">
        <v>96</v>
      </c>
      <c r="D73" s="11" t="str">
        <f t="shared" si="12"/>
        <v>#REF!</v>
      </c>
      <c r="E73" s="12">
        <f>1/2</f>
        <v>0.5</v>
      </c>
      <c r="F73" s="9"/>
      <c r="G73" s="13"/>
    </row>
    <row r="74" ht="18.0" customHeight="1">
      <c r="A74" s="14">
        <f t="shared" si="13"/>
        <v>68</v>
      </c>
      <c r="B74" s="15" t="s">
        <v>104</v>
      </c>
      <c r="C74" s="16" t="s">
        <v>96</v>
      </c>
      <c r="D74" s="11" t="str">
        <f t="shared" si="12"/>
        <v>#REF!</v>
      </c>
      <c r="E74" s="12">
        <v>3.0</v>
      </c>
      <c r="F74" s="15"/>
      <c r="G74" s="13"/>
    </row>
    <row r="75" ht="18.0" customHeight="1">
      <c r="A75" s="14">
        <f t="shared" si="13"/>
        <v>69</v>
      </c>
      <c r="B75" s="9" t="s">
        <v>105</v>
      </c>
      <c r="C75" s="10" t="s">
        <v>96</v>
      </c>
      <c r="D75" s="11" t="str">
        <f t="shared" si="12"/>
        <v>#REF!</v>
      </c>
      <c r="E75" s="12">
        <v>3.0</v>
      </c>
      <c r="F75" s="9"/>
      <c r="G75" s="13"/>
    </row>
    <row r="76" ht="18.0" customHeight="1">
      <c r="A76" s="14">
        <f t="shared" si="13"/>
        <v>70</v>
      </c>
      <c r="B76" s="15" t="s">
        <v>106</v>
      </c>
      <c r="C76" s="16" t="s">
        <v>96</v>
      </c>
      <c r="D76" s="11" t="str">
        <f t="shared" si="12"/>
        <v>#REF!</v>
      </c>
      <c r="E76" s="12">
        <v>3.0</v>
      </c>
      <c r="F76" s="15"/>
      <c r="G76" s="13"/>
    </row>
    <row r="77" ht="18.0" customHeight="1">
      <c r="A77" s="14">
        <f t="shared" si="13"/>
        <v>71</v>
      </c>
      <c r="B77" s="9" t="s">
        <v>107</v>
      </c>
      <c r="C77" s="10" t="s">
        <v>96</v>
      </c>
      <c r="D77" s="11" t="str">
        <f t="shared" si="12"/>
        <v>#REF!</v>
      </c>
      <c r="E77" s="12">
        <v>5.0</v>
      </c>
      <c r="F77" s="9"/>
      <c r="G77" s="13"/>
    </row>
    <row r="78" ht="18.0" customHeight="1">
      <c r="A78" s="14">
        <f t="shared" si="13"/>
        <v>72</v>
      </c>
      <c r="B78" s="15" t="s">
        <v>108</v>
      </c>
      <c r="C78" s="16" t="s">
        <v>96</v>
      </c>
      <c r="D78" s="11" t="str">
        <f t="shared" si="12"/>
        <v>#REF!</v>
      </c>
      <c r="E78" s="12">
        <v>5.0</v>
      </c>
      <c r="F78" s="15"/>
      <c r="G78" s="13"/>
    </row>
    <row r="79" ht="18.0" customHeight="1">
      <c r="A79" s="14">
        <f t="shared" si="13"/>
        <v>73</v>
      </c>
      <c r="B79" s="9" t="s">
        <v>109</v>
      </c>
      <c r="C79" s="10" t="s">
        <v>96</v>
      </c>
      <c r="D79" s="11" t="str">
        <f t="shared" si="12"/>
        <v>#REF!</v>
      </c>
      <c r="E79" s="12">
        <v>5.0</v>
      </c>
      <c r="F79" s="9"/>
      <c r="G79" s="13"/>
    </row>
    <row r="80" ht="18.0" customHeight="1">
      <c r="A80" s="14">
        <f t="shared" si="13"/>
        <v>74</v>
      </c>
      <c r="B80" s="15" t="s">
        <v>110</v>
      </c>
      <c r="C80" s="16" t="s">
        <v>96</v>
      </c>
      <c r="D80" s="11" t="str">
        <f t="shared" si="12"/>
        <v>#REF!</v>
      </c>
      <c r="E80" s="12">
        <v>5.0</v>
      </c>
      <c r="F80" s="15"/>
      <c r="G80" s="13"/>
    </row>
    <row r="81" ht="18.0" customHeight="1">
      <c r="A81" s="14">
        <f t="shared" si="13"/>
        <v>75</v>
      </c>
      <c r="B81" s="9" t="s">
        <v>111</v>
      </c>
      <c r="C81" s="10" t="s">
        <v>96</v>
      </c>
      <c r="D81" s="11" t="str">
        <f t="shared" si="12"/>
        <v>#REF!</v>
      </c>
      <c r="E81" s="12">
        <v>1.0</v>
      </c>
      <c r="F81" s="9"/>
      <c r="G81" s="13"/>
    </row>
    <row r="82" ht="18.0" customHeight="1">
      <c r="A82" s="14">
        <f t="shared" si="13"/>
        <v>76</v>
      </c>
      <c r="B82" s="15" t="s">
        <v>112</v>
      </c>
      <c r="C82" s="16" t="s">
        <v>96</v>
      </c>
      <c r="D82" s="11" t="str">
        <f>#REF!</f>
        <v>#REF!</v>
      </c>
      <c r="E82" s="12">
        <v>5.0</v>
      </c>
      <c r="F82" s="15"/>
      <c r="G82" s="13"/>
    </row>
    <row r="83" ht="18.0" customHeight="1">
      <c r="A83" s="14">
        <f t="shared" si="13"/>
        <v>77</v>
      </c>
      <c r="B83" s="9" t="s">
        <v>113</v>
      </c>
      <c r="C83" s="10" t="s">
        <v>96</v>
      </c>
      <c r="D83" s="11" t="str">
        <f t="shared" ref="D83:D94" si="14">'Meja Biru + Chiller'!D143</f>
        <v>#REF!</v>
      </c>
      <c r="E83" s="12">
        <v>1.0</v>
      </c>
      <c r="F83" s="9"/>
      <c r="G83" s="13"/>
    </row>
    <row r="84" ht="18.0" customHeight="1">
      <c r="A84" s="14">
        <f t="shared" si="13"/>
        <v>78</v>
      </c>
      <c r="B84" s="15" t="s">
        <v>114</v>
      </c>
      <c r="C84" s="16" t="s">
        <v>96</v>
      </c>
      <c r="D84" s="11" t="str">
        <f t="shared" si="14"/>
        <v>#REF!</v>
      </c>
      <c r="E84" s="12">
        <v>1.0</v>
      </c>
      <c r="F84" s="15"/>
      <c r="G84" s="13"/>
    </row>
    <row r="85" ht="18.0" customHeight="1">
      <c r="A85" s="14">
        <f t="shared" si="13"/>
        <v>79</v>
      </c>
      <c r="B85" s="9" t="s">
        <v>115</v>
      </c>
      <c r="C85" s="10" t="s">
        <v>96</v>
      </c>
      <c r="D85" s="11" t="str">
        <f t="shared" si="14"/>
        <v>#REF!</v>
      </c>
      <c r="E85" s="12">
        <v>1.0</v>
      </c>
      <c r="F85" s="9"/>
      <c r="G85" s="13"/>
    </row>
    <row r="86" ht="18.0" customHeight="1">
      <c r="A86" s="14">
        <f t="shared" si="13"/>
        <v>80</v>
      </c>
      <c r="B86" s="15" t="s">
        <v>117</v>
      </c>
      <c r="C86" s="16" t="s">
        <v>96</v>
      </c>
      <c r="D86" s="11" t="str">
        <f t="shared" si="14"/>
        <v>#REF!</v>
      </c>
      <c r="E86" s="12">
        <v>1.0</v>
      </c>
      <c r="F86" s="15"/>
      <c r="G86" s="13"/>
    </row>
    <row r="87" ht="18.0" customHeight="1">
      <c r="A87" s="14">
        <f t="shared" si="13"/>
        <v>81</v>
      </c>
      <c r="B87" s="9" t="s">
        <v>118</v>
      </c>
      <c r="C87" s="10" t="s">
        <v>96</v>
      </c>
      <c r="D87" s="11" t="str">
        <f t="shared" si="14"/>
        <v>#REF!</v>
      </c>
      <c r="E87" s="12">
        <v>5.0</v>
      </c>
      <c r="F87" s="9"/>
      <c r="G87" s="13"/>
    </row>
    <row r="88" ht="18.0" customHeight="1">
      <c r="A88" s="14">
        <f t="shared" si="13"/>
        <v>82</v>
      </c>
      <c r="B88" s="15" t="s">
        <v>119</v>
      </c>
      <c r="C88" s="16" t="s">
        <v>96</v>
      </c>
      <c r="D88" s="11" t="str">
        <f t="shared" si="14"/>
        <v>#REF!</v>
      </c>
      <c r="E88" s="12">
        <v>3.0</v>
      </c>
      <c r="F88" s="15"/>
      <c r="G88" s="13"/>
    </row>
    <row r="89" ht="18.0" customHeight="1">
      <c r="A89" s="14">
        <f t="shared" si="13"/>
        <v>83</v>
      </c>
      <c r="B89" s="9" t="s">
        <v>120</v>
      </c>
      <c r="C89" s="10" t="s">
        <v>96</v>
      </c>
      <c r="D89" s="11" t="str">
        <f t="shared" si="14"/>
        <v>#REF!</v>
      </c>
      <c r="E89" s="12">
        <v>3.0</v>
      </c>
      <c r="F89" s="9"/>
      <c r="G89" s="13"/>
    </row>
    <row r="90" ht="18.0" customHeight="1">
      <c r="A90" s="14">
        <f t="shared" si="13"/>
        <v>84</v>
      </c>
      <c r="B90" s="15" t="s">
        <v>121</v>
      </c>
      <c r="C90" s="16" t="s">
        <v>96</v>
      </c>
      <c r="D90" s="11" t="str">
        <f t="shared" si="14"/>
        <v>#REF!</v>
      </c>
      <c r="E90" s="12">
        <v>3.0</v>
      </c>
      <c r="F90" s="15"/>
      <c r="G90" s="13"/>
    </row>
    <row r="91" ht="18.0" customHeight="1">
      <c r="A91" s="14">
        <f t="shared" si="13"/>
        <v>85</v>
      </c>
      <c r="B91" s="9" t="s">
        <v>122</v>
      </c>
      <c r="C91" s="10" t="s">
        <v>96</v>
      </c>
      <c r="D91" s="11" t="str">
        <f t="shared" si="14"/>
        <v>#REF!</v>
      </c>
      <c r="E91" s="12">
        <v>2.0</v>
      </c>
      <c r="F91" s="9"/>
      <c r="G91" s="13"/>
    </row>
    <row r="92" ht="18.0" customHeight="1">
      <c r="A92" s="14">
        <f t="shared" si="13"/>
        <v>86</v>
      </c>
      <c r="B92" s="15" t="s">
        <v>123</v>
      </c>
      <c r="C92" s="16" t="s">
        <v>96</v>
      </c>
      <c r="D92" s="11" t="str">
        <f t="shared" si="14"/>
        <v>#REF!</v>
      </c>
      <c r="E92" s="12">
        <v>2.0</v>
      </c>
      <c r="F92" s="15"/>
      <c r="G92" s="13"/>
    </row>
    <row r="93" ht="18.0" customHeight="1">
      <c r="A93" s="14">
        <f t="shared" si="13"/>
        <v>87</v>
      </c>
      <c r="B93" s="9" t="s">
        <v>124</v>
      </c>
      <c r="C93" s="10" t="s">
        <v>96</v>
      </c>
      <c r="D93" s="11" t="str">
        <f t="shared" si="14"/>
        <v>#REF!</v>
      </c>
      <c r="E93" s="12">
        <v>2.0</v>
      </c>
      <c r="F93" s="9"/>
      <c r="G93" s="13"/>
    </row>
    <row r="94" ht="18.0" customHeight="1">
      <c r="A94" s="14">
        <f t="shared" si="13"/>
        <v>88</v>
      </c>
      <c r="B94" s="15" t="s">
        <v>125</v>
      </c>
      <c r="C94" s="16" t="s">
        <v>96</v>
      </c>
      <c r="D94" s="11" t="str">
        <f t="shared" si="14"/>
        <v>#REF!</v>
      </c>
      <c r="E94" s="12">
        <v>2.0</v>
      </c>
      <c r="F94" s="15"/>
      <c r="G94" s="13"/>
    </row>
    <row r="95" ht="18.0" customHeight="1">
      <c r="A95" s="14">
        <f t="shared" si="13"/>
        <v>89</v>
      </c>
      <c r="B95" s="9" t="s">
        <v>126</v>
      </c>
      <c r="C95" s="10" t="s">
        <v>96</v>
      </c>
      <c r="D95" s="11" t="str">
        <f>#REF!</f>
        <v>#REF!</v>
      </c>
      <c r="E95" s="12">
        <v>5.0</v>
      </c>
      <c r="F95" s="9"/>
      <c r="G95" s="13"/>
    </row>
    <row r="96" ht="19.5" customHeight="1">
      <c r="A96" s="7" t="s">
        <v>127</v>
      </c>
      <c r="B96" s="2"/>
      <c r="C96" s="2"/>
      <c r="D96" s="2"/>
      <c r="E96" s="2"/>
      <c r="F96" s="2"/>
      <c r="G96" s="2"/>
    </row>
    <row r="97" ht="18.0" customHeight="1">
      <c r="A97" s="14">
        <f>A95+1</f>
        <v>90</v>
      </c>
      <c r="B97" s="15" t="s">
        <v>128</v>
      </c>
      <c r="C97" s="16" t="s">
        <v>129</v>
      </c>
      <c r="D97" s="11"/>
      <c r="E97" s="12">
        <v>10.0</v>
      </c>
      <c r="F97" s="15"/>
      <c r="G97" s="13"/>
    </row>
    <row r="98" ht="18.0" customHeight="1">
      <c r="A98" s="8">
        <f t="shared" ref="A98:A140" si="15">A97+1</f>
        <v>91</v>
      </c>
      <c r="B98" s="9" t="s">
        <v>130</v>
      </c>
      <c r="C98" s="10" t="s">
        <v>129</v>
      </c>
      <c r="D98" s="11" t="s">
        <v>131</v>
      </c>
      <c r="E98" s="12">
        <v>1.0</v>
      </c>
      <c r="F98" s="9"/>
      <c r="G98" s="13"/>
    </row>
    <row r="99" ht="18.0" customHeight="1">
      <c r="A99" s="8">
        <f t="shared" si="15"/>
        <v>92</v>
      </c>
      <c r="B99" s="15" t="s">
        <v>132</v>
      </c>
      <c r="C99" s="16" t="s">
        <v>129</v>
      </c>
      <c r="D99" s="11" t="s">
        <v>131</v>
      </c>
      <c r="E99" s="12">
        <v>1.0</v>
      </c>
      <c r="F99" s="15"/>
      <c r="G99" s="13"/>
    </row>
    <row r="100" ht="18.0" customHeight="1">
      <c r="A100" s="8">
        <f t="shared" si="15"/>
        <v>93</v>
      </c>
      <c r="B100" s="9" t="s">
        <v>133</v>
      </c>
      <c r="C100" s="10" t="s">
        <v>129</v>
      </c>
      <c r="D100" s="11" t="s">
        <v>131</v>
      </c>
      <c r="E100" s="12">
        <v>1.0</v>
      </c>
      <c r="F100" s="9"/>
      <c r="G100" s="13"/>
    </row>
    <row r="101" ht="18.0" customHeight="1">
      <c r="A101" s="8">
        <f t="shared" si="15"/>
        <v>94</v>
      </c>
      <c r="B101" s="15" t="s">
        <v>134</v>
      </c>
      <c r="C101" s="16" t="s">
        <v>129</v>
      </c>
      <c r="D101" s="11" t="s">
        <v>131</v>
      </c>
      <c r="E101" s="12">
        <v>5.0</v>
      </c>
      <c r="F101" s="15"/>
      <c r="G101" s="13"/>
    </row>
    <row r="102" ht="18.0" customHeight="1">
      <c r="A102" s="8">
        <f t="shared" si="15"/>
        <v>95</v>
      </c>
      <c r="B102" s="15" t="s">
        <v>135</v>
      </c>
      <c r="C102" s="16" t="s">
        <v>129</v>
      </c>
      <c r="D102" s="11" t="s">
        <v>131</v>
      </c>
      <c r="E102" s="12">
        <v>50.0</v>
      </c>
      <c r="F102" s="15"/>
      <c r="G102" s="13"/>
    </row>
    <row r="103" ht="18.0" customHeight="1">
      <c r="A103" s="8">
        <f t="shared" si="15"/>
        <v>96</v>
      </c>
      <c r="B103" s="9" t="s">
        <v>136</v>
      </c>
      <c r="C103" s="10" t="s">
        <v>129</v>
      </c>
      <c r="D103" s="11" t="s">
        <v>131</v>
      </c>
      <c r="E103" s="12">
        <v>10.0</v>
      </c>
      <c r="F103" s="9"/>
      <c r="G103" s="13"/>
    </row>
    <row r="104" ht="18.0" customHeight="1">
      <c r="A104" s="8">
        <f t="shared" si="15"/>
        <v>97</v>
      </c>
      <c r="B104" s="15" t="s">
        <v>137</v>
      </c>
      <c r="C104" s="16" t="s">
        <v>129</v>
      </c>
      <c r="D104" s="11" t="s">
        <v>131</v>
      </c>
      <c r="E104" s="12">
        <v>1.0</v>
      </c>
      <c r="F104" s="15"/>
      <c r="G104" s="13"/>
    </row>
    <row r="105" ht="18.0" customHeight="1">
      <c r="A105" s="8">
        <f t="shared" si="15"/>
        <v>98</v>
      </c>
      <c r="B105" s="9" t="s">
        <v>138</v>
      </c>
      <c r="C105" s="10" t="s">
        <v>129</v>
      </c>
      <c r="D105" s="11" t="s">
        <v>131</v>
      </c>
      <c r="E105" s="12">
        <v>50.0</v>
      </c>
      <c r="F105" s="9"/>
      <c r="G105" s="13"/>
    </row>
    <row r="106" ht="18.0" customHeight="1">
      <c r="A106" s="8">
        <f t="shared" si="15"/>
        <v>99</v>
      </c>
      <c r="B106" s="15" t="s">
        <v>139</v>
      </c>
      <c r="C106" s="16" t="s">
        <v>129</v>
      </c>
      <c r="D106" s="11" t="s">
        <v>131</v>
      </c>
      <c r="E106" s="12">
        <v>20.0</v>
      </c>
      <c r="F106" s="15"/>
      <c r="G106" s="13"/>
    </row>
    <row r="107" ht="18.0" customHeight="1">
      <c r="A107" s="8">
        <f t="shared" si="15"/>
        <v>100</v>
      </c>
      <c r="B107" s="9" t="s">
        <v>118</v>
      </c>
      <c r="C107" s="10" t="s">
        <v>129</v>
      </c>
      <c r="D107" s="11" t="s">
        <v>131</v>
      </c>
      <c r="E107" s="12">
        <v>50.0</v>
      </c>
      <c r="F107" s="9"/>
      <c r="G107" s="13"/>
    </row>
    <row r="108" ht="18.0" customHeight="1">
      <c r="A108" s="8">
        <f t="shared" si="15"/>
        <v>101</v>
      </c>
      <c r="B108" s="15" t="s">
        <v>140</v>
      </c>
      <c r="C108" s="16" t="s">
        <v>129</v>
      </c>
      <c r="D108" s="11" t="s">
        <v>131</v>
      </c>
      <c r="E108" s="12">
        <v>2.0</v>
      </c>
      <c r="F108" s="15"/>
      <c r="G108" s="13"/>
    </row>
    <row r="109" ht="18.0" customHeight="1">
      <c r="A109" s="8">
        <f t="shared" si="15"/>
        <v>102</v>
      </c>
      <c r="B109" s="9" t="s">
        <v>141</v>
      </c>
      <c r="C109" s="10" t="s">
        <v>129</v>
      </c>
      <c r="D109" s="11" t="s">
        <v>131</v>
      </c>
      <c r="E109" s="12">
        <v>1.0</v>
      </c>
      <c r="F109" s="9"/>
      <c r="G109" s="13"/>
    </row>
    <row r="110" ht="18.0" customHeight="1">
      <c r="A110" s="8">
        <f t="shared" si="15"/>
        <v>103</v>
      </c>
      <c r="B110" s="15" t="s">
        <v>142</v>
      </c>
      <c r="C110" s="16" t="s">
        <v>129</v>
      </c>
      <c r="D110" s="11" t="s">
        <v>131</v>
      </c>
      <c r="E110" s="12">
        <v>1.0</v>
      </c>
      <c r="F110" s="15"/>
      <c r="G110" s="13"/>
    </row>
    <row r="111" ht="18.0" customHeight="1">
      <c r="A111" s="8">
        <f t="shared" si="15"/>
        <v>104</v>
      </c>
      <c r="B111" s="9" t="s">
        <v>143</v>
      </c>
      <c r="C111" s="10" t="s">
        <v>129</v>
      </c>
      <c r="D111" s="11" t="s">
        <v>131</v>
      </c>
      <c r="E111" s="12">
        <v>1.0</v>
      </c>
      <c r="F111" s="9"/>
      <c r="G111" s="13"/>
    </row>
    <row r="112" ht="18.0" customHeight="1">
      <c r="A112" s="8">
        <f t="shared" si="15"/>
        <v>105</v>
      </c>
      <c r="B112" s="15" t="s">
        <v>144</v>
      </c>
      <c r="C112" s="16" t="s">
        <v>129</v>
      </c>
      <c r="D112" s="11" t="s">
        <v>131</v>
      </c>
      <c r="E112" s="12">
        <v>20.0</v>
      </c>
      <c r="F112" s="15"/>
      <c r="G112" s="13"/>
    </row>
    <row r="113" ht="18.0" customHeight="1">
      <c r="A113" s="8">
        <f t="shared" si="15"/>
        <v>106</v>
      </c>
      <c r="B113" s="9" t="s">
        <v>145</v>
      </c>
      <c r="C113" s="10" t="s">
        <v>129</v>
      </c>
      <c r="D113" s="11" t="s">
        <v>131</v>
      </c>
      <c r="E113" s="12">
        <v>20.0</v>
      </c>
      <c r="F113" s="9"/>
      <c r="G113" s="13"/>
    </row>
    <row r="114" ht="18.0" customHeight="1">
      <c r="A114" s="8">
        <f t="shared" si="15"/>
        <v>107</v>
      </c>
      <c r="B114" s="15" t="s">
        <v>146</v>
      </c>
      <c r="C114" s="16" t="s">
        <v>129</v>
      </c>
      <c r="D114" s="11" t="s">
        <v>131</v>
      </c>
      <c r="E114" s="12">
        <v>1.0</v>
      </c>
      <c r="F114" s="15"/>
      <c r="G114" s="13"/>
    </row>
    <row r="115" ht="18.0" customHeight="1">
      <c r="A115" s="8">
        <f t="shared" si="15"/>
        <v>108</v>
      </c>
      <c r="B115" s="9" t="s">
        <v>147</v>
      </c>
      <c r="C115" s="10" t="s">
        <v>129</v>
      </c>
      <c r="D115" s="11" t="s">
        <v>131</v>
      </c>
      <c r="E115" s="12">
        <v>25.0</v>
      </c>
      <c r="F115" s="9"/>
      <c r="G115" s="13"/>
    </row>
    <row r="116" ht="18.0" customHeight="1">
      <c r="A116" s="8">
        <f t="shared" si="15"/>
        <v>109</v>
      </c>
      <c r="B116" s="15" t="s">
        <v>148</v>
      </c>
      <c r="C116" s="16" t="s">
        <v>129</v>
      </c>
      <c r="D116" s="11" t="s">
        <v>131</v>
      </c>
      <c r="E116" s="12">
        <v>10.0</v>
      </c>
      <c r="F116" s="15"/>
      <c r="G116" s="13"/>
    </row>
    <row r="117" ht="18.0" customHeight="1">
      <c r="A117" s="8">
        <f t="shared" si="15"/>
        <v>110</v>
      </c>
      <c r="B117" s="9" t="s">
        <v>149</v>
      </c>
      <c r="C117" s="10" t="s">
        <v>129</v>
      </c>
      <c r="D117" s="11" t="s">
        <v>131</v>
      </c>
      <c r="E117" s="12">
        <v>1.0</v>
      </c>
      <c r="F117" s="9"/>
      <c r="G117" s="13"/>
    </row>
    <row r="118" ht="18.0" customHeight="1">
      <c r="A118" s="8">
        <f t="shared" si="15"/>
        <v>111</v>
      </c>
      <c r="B118" s="15" t="s">
        <v>150</v>
      </c>
      <c r="C118" s="16" t="s">
        <v>129</v>
      </c>
      <c r="D118" s="11" t="s">
        <v>131</v>
      </c>
      <c r="E118" s="12">
        <v>1.0</v>
      </c>
      <c r="F118" s="15"/>
      <c r="G118" s="13"/>
    </row>
    <row r="119" ht="18.0" customHeight="1">
      <c r="A119" s="8">
        <f t="shared" si="15"/>
        <v>112</v>
      </c>
      <c r="B119" s="9" t="s">
        <v>151</v>
      </c>
      <c r="C119" s="10" t="s">
        <v>129</v>
      </c>
      <c r="D119" s="11" t="s">
        <v>131</v>
      </c>
      <c r="E119" s="12">
        <v>1.0</v>
      </c>
      <c r="F119" s="9"/>
      <c r="G119" s="13"/>
    </row>
    <row r="120" ht="18.0" customHeight="1">
      <c r="A120" s="8">
        <f t="shared" si="15"/>
        <v>113</v>
      </c>
      <c r="B120" s="15" t="s">
        <v>152</v>
      </c>
      <c r="C120" s="16" t="s">
        <v>129</v>
      </c>
      <c r="D120" s="11" t="s">
        <v>131</v>
      </c>
      <c r="E120" s="12">
        <v>1.0</v>
      </c>
      <c r="F120" s="15"/>
      <c r="G120" s="13"/>
    </row>
    <row r="121" ht="18.0" customHeight="1">
      <c r="A121" s="8">
        <f t="shared" si="15"/>
        <v>114</v>
      </c>
      <c r="B121" s="9" t="s">
        <v>153</v>
      </c>
      <c r="C121" s="10" t="s">
        <v>129</v>
      </c>
      <c r="D121" s="11" t="s">
        <v>131</v>
      </c>
      <c r="E121" s="12">
        <v>10.0</v>
      </c>
      <c r="F121" s="9"/>
      <c r="G121" s="13"/>
    </row>
    <row r="122" ht="18.0" customHeight="1">
      <c r="A122" s="8">
        <f t="shared" si="15"/>
        <v>115</v>
      </c>
      <c r="B122" s="15" t="s">
        <v>154</v>
      </c>
      <c r="C122" s="16" t="s">
        <v>129</v>
      </c>
      <c r="D122" s="11" t="s">
        <v>131</v>
      </c>
      <c r="E122" s="12">
        <v>1.0</v>
      </c>
      <c r="F122" s="15"/>
      <c r="G122" s="13"/>
    </row>
    <row r="123" ht="18.0" customHeight="1">
      <c r="A123" s="8">
        <f t="shared" si="15"/>
        <v>116</v>
      </c>
      <c r="B123" s="9" t="s">
        <v>155</v>
      </c>
      <c r="C123" s="10" t="s">
        <v>129</v>
      </c>
      <c r="D123" s="11" t="s">
        <v>131</v>
      </c>
      <c r="E123" s="12">
        <v>1.0</v>
      </c>
      <c r="F123" s="9"/>
      <c r="G123" s="13"/>
    </row>
    <row r="124" ht="18.0" customHeight="1">
      <c r="A124" s="8">
        <f t="shared" si="15"/>
        <v>117</v>
      </c>
      <c r="B124" s="15" t="s">
        <v>156</v>
      </c>
      <c r="C124" s="16" t="s">
        <v>129</v>
      </c>
      <c r="D124" s="11" t="s">
        <v>131</v>
      </c>
      <c r="E124" s="12">
        <v>10.0</v>
      </c>
      <c r="F124" s="15"/>
      <c r="G124" s="13"/>
    </row>
    <row r="125" ht="18.0" customHeight="1">
      <c r="A125" s="8">
        <f t="shared" si="15"/>
        <v>118</v>
      </c>
      <c r="B125" s="9" t="s">
        <v>157</v>
      </c>
      <c r="C125" s="10" t="s">
        <v>129</v>
      </c>
      <c r="D125" s="11" t="s">
        <v>131</v>
      </c>
      <c r="E125" s="12">
        <v>25.0</v>
      </c>
      <c r="F125" s="9"/>
      <c r="G125" s="13"/>
    </row>
    <row r="126" ht="18.0" customHeight="1">
      <c r="A126" s="8">
        <f t="shared" si="15"/>
        <v>119</v>
      </c>
      <c r="B126" s="15" t="s">
        <v>158</v>
      </c>
      <c r="C126" s="16" t="s">
        <v>129</v>
      </c>
      <c r="D126" s="11" t="s">
        <v>131</v>
      </c>
      <c r="E126" s="12">
        <v>1.0</v>
      </c>
      <c r="F126" s="15"/>
      <c r="G126" s="13"/>
    </row>
    <row r="127" ht="18.0" customHeight="1">
      <c r="A127" s="8">
        <f t="shared" si="15"/>
        <v>120</v>
      </c>
      <c r="B127" s="9" t="s">
        <v>159</v>
      </c>
      <c r="C127" s="10" t="s">
        <v>129</v>
      </c>
      <c r="D127" s="11" t="s">
        <v>131</v>
      </c>
      <c r="E127" s="12">
        <v>1.0</v>
      </c>
      <c r="F127" s="9"/>
      <c r="G127" s="13"/>
    </row>
    <row r="128" ht="18.0" customHeight="1">
      <c r="A128" s="8">
        <f t="shared" si="15"/>
        <v>121</v>
      </c>
      <c r="B128" s="15" t="s">
        <v>160</v>
      </c>
      <c r="C128" s="16" t="s">
        <v>129</v>
      </c>
      <c r="D128" s="11" t="s">
        <v>131</v>
      </c>
      <c r="E128" s="12">
        <v>10.0</v>
      </c>
      <c r="F128" s="15"/>
      <c r="G128" s="13"/>
    </row>
    <row r="129" ht="18.0" customHeight="1">
      <c r="A129" s="8">
        <f t="shared" si="15"/>
        <v>122</v>
      </c>
      <c r="B129" s="9" t="s">
        <v>161</v>
      </c>
      <c r="C129" s="10" t="s">
        <v>129</v>
      </c>
      <c r="D129" s="11" t="s">
        <v>131</v>
      </c>
      <c r="E129" s="12">
        <v>10.0</v>
      </c>
      <c r="F129" s="9"/>
      <c r="G129" s="13"/>
    </row>
    <row r="130" ht="18.0" customHeight="1">
      <c r="A130" s="8">
        <f t="shared" si="15"/>
        <v>123</v>
      </c>
      <c r="B130" s="15" t="s">
        <v>162</v>
      </c>
      <c r="C130" s="16" t="s">
        <v>129</v>
      </c>
      <c r="D130" s="11" t="s">
        <v>131</v>
      </c>
      <c r="E130" s="12">
        <v>5.0</v>
      </c>
      <c r="F130" s="15"/>
      <c r="G130" s="13"/>
    </row>
    <row r="131" ht="18.0" customHeight="1">
      <c r="A131" s="8">
        <f t="shared" si="15"/>
        <v>124</v>
      </c>
      <c r="B131" s="9" t="s">
        <v>163</v>
      </c>
      <c r="C131" s="10" t="s">
        <v>129</v>
      </c>
      <c r="D131" s="11" t="s">
        <v>131</v>
      </c>
      <c r="E131" s="12">
        <v>5.0</v>
      </c>
      <c r="F131" s="9"/>
      <c r="G131" s="13"/>
    </row>
    <row r="132" ht="18.0" customHeight="1">
      <c r="A132" s="8">
        <f t="shared" si="15"/>
        <v>125</v>
      </c>
      <c r="B132" s="15" t="s">
        <v>164</v>
      </c>
      <c r="C132" s="16" t="s">
        <v>129</v>
      </c>
      <c r="D132" s="11" t="s">
        <v>131</v>
      </c>
      <c r="E132" s="12">
        <v>5.0</v>
      </c>
      <c r="F132" s="15"/>
      <c r="G132" s="13"/>
    </row>
    <row r="133" ht="18.0" customHeight="1">
      <c r="A133" s="8">
        <f t="shared" si="15"/>
        <v>126</v>
      </c>
      <c r="B133" s="9" t="s">
        <v>165</v>
      </c>
      <c r="C133" s="10" t="s">
        <v>129</v>
      </c>
      <c r="D133" s="11" t="s">
        <v>131</v>
      </c>
      <c r="E133" s="12">
        <v>1.0</v>
      </c>
      <c r="F133" s="9"/>
      <c r="G133" s="13"/>
    </row>
    <row r="134" ht="18.0" customHeight="1">
      <c r="A134" s="8">
        <f t="shared" si="15"/>
        <v>127</v>
      </c>
      <c r="B134" s="15" t="s">
        <v>166</v>
      </c>
      <c r="C134" s="16" t="s">
        <v>129</v>
      </c>
      <c r="D134" s="11" t="s">
        <v>131</v>
      </c>
      <c r="E134" s="12">
        <v>1.0</v>
      </c>
      <c r="F134" s="15"/>
      <c r="G134" s="13"/>
    </row>
    <row r="135" ht="18.0" customHeight="1">
      <c r="A135" s="8">
        <f t="shared" si="15"/>
        <v>128</v>
      </c>
      <c r="B135" s="9" t="s">
        <v>167</v>
      </c>
      <c r="C135" s="10" t="s">
        <v>129</v>
      </c>
      <c r="D135" s="11" t="s">
        <v>131</v>
      </c>
      <c r="E135" s="12">
        <v>10.0</v>
      </c>
      <c r="F135" s="9"/>
      <c r="G135" s="13"/>
    </row>
    <row r="136" ht="18.0" customHeight="1">
      <c r="A136" s="8">
        <f t="shared" si="15"/>
        <v>129</v>
      </c>
      <c r="B136" s="15" t="s">
        <v>169</v>
      </c>
      <c r="C136" s="16" t="s">
        <v>129</v>
      </c>
      <c r="D136" s="11" t="s">
        <v>131</v>
      </c>
      <c r="E136" s="12">
        <v>1.0</v>
      </c>
      <c r="F136" s="15"/>
      <c r="G136" s="13"/>
    </row>
    <row r="137" ht="18.0" customHeight="1">
      <c r="A137" s="8">
        <f t="shared" si="15"/>
        <v>130</v>
      </c>
      <c r="B137" s="9" t="s">
        <v>170</v>
      </c>
      <c r="C137" s="10" t="s">
        <v>129</v>
      </c>
      <c r="D137" s="11" t="s">
        <v>131</v>
      </c>
      <c r="E137" s="12">
        <v>10.0</v>
      </c>
      <c r="F137" s="9"/>
      <c r="G137" s="13"/>
    </row>
    <row r="138" ht="18.0" customHeight="1">
      <c r="A138" s="8">
        <f t="shared" si="15"/>
        <v>131</v>
      </c>
      <c r="B138" s="15" t="s">
        <v>171</v>
      </c>
      <c r="C138" s="16" t="s">
        <v>129</v>
      </c>
      <c r="D138" s="11" t="s">
        <v>131</v>
      </c>
      <c r="E138" s="12">
        <v>1.0</v>
      </c>
      <c r="F138" s="15"/>
      <c r="G138" s="13"/>
    </row>
    <row r="139" ht="18.0" customHeight="1">
      <c r="A139" s="8">
        <f t="shared" si="15"/>
        <v>132</v>
      </c>
      <c r="B139" s="9" t="s">
        <v>172</v>
      </c>
      <c r="C139" s="10" t="s">
        <v>129</v>
      </c>
      <c r="D139" s="11" t="s">
        <v>131</v>
      </c>
      <c r="E139" s="12">
        <v>5.0</v>
      </c>
      <c r="F139" s="9"/>
      <c r="G139" s="13"/>
    </row>
    <row r="140" ht="18.0" customHeight="1">
      <c r="A140" s="8">
        <f t="shared" si="15"/>
        <v>133</v>
      </c>
      <c r="B140" s="15" t="s">
        <v>174</v>
      </c>
      <c r="C140" s="16" t="s">
        <v>129</v>
      </c>
      <c r="D140" s="11" t="s">
        <v>131</v>
      </c>
      <c r="E140" s="12">
        <v>5.0</v>
      </c>
      <c r="F140" s="15"/>
      <c r="G140" s="13"/>
    </row>
    <row r="141" ht="15.75" customHeight="1"/>
    <row r="142" ht="21.75" customHeight="1">
      <c r="A142" s="64" t="s">
        <v>176</v>
      </c>
      <c r="B142" s="2"/>
      <c r="C142" s="2"/>
      <c r="D142" s="65">
        <v>130.0</v>
      </c>
      <c r="E142" s="66" t="s">
        <v>177</v>
      </c>
      <c r="F142" s="2"/>
      <c r="G142" s="2"/>
    </row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G1"/>
    <mergeCell ref="A2:G2"/>
    <mergeCell ref="A3:G3"/>
    <mergeCell ref="A5:G5"/>
    <mergeCell ref="A65:G65"/>
    <mergeCell ref="A96:G96"/>
    <mergeCell ref="A142:C142"/>
    <mergeCell ref="E142:G142"/>
  </mergeCells>
  <conditionalFormatting sqref="E5:E140">
    <cfRule type="expression" dxfId="6" priority="1">
      <formula>E5&lt;&gt;D5</formula>
    </cfRule>
  </conditionalFormatting>
  <printOptions/>
  <pageMargins bottom="1.0" footer="0.0" header="0.0" left="0.75" right="0.75" top="1.0"/>
  <pageSetup paperSize="9" orientation="portrait"/>
  <drawing r:id="rId1"/>
</worksheet>
</file>